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ормативы" sheetId="1" state="visible" r:id="rId3"/>
    <sheet name="Градуировка_Fe" sheetId="2" state="visible" r:id="rId4"/>
    <sheet name="Данные_ввод" sheetId="3" state="visible" r:id="rId5"/>
    <sheet name="Результаты" sheetId="4" state="visible" r:id="rId6"/>
    <sheet name="Дашборд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<sst xmlns="http://schemas.openxmlformats.org/spreadsheetml/2006/main" count="1176" uniqueCount="517">
  <si>
    <t xml:space="preserve">Параметр</t>
  </si>
  <si>
    <t xml:space="preserve">Мин.</t>
  </si>
  <si>
    <t xml:space="preserve">Макс.</t>
  </si>
  <si>
    <t xml:space="preserve">Единицы</t>
  </si>
  <si>
    <t xml:space="preserve">Источник / примечание</t>
  </si>
  <si>
    <t xml:space="preserve">Fe (концентрация)</t>
  </si>
  <si>
    <t xml:space="preserve">мг/дм³</t>
  </si>
  <si>
    <t xml:space="preserve">СанПиН 1.2.3685-21, питьевая вода</t>
  </si>
  <si>
    <t xml:space="preserve">pH</t>
  </si>
  <si>
    <t xml:space="preserve">ед. pH</t>
  </si>
  <si>
    <t xml:space="preserve">СанПиН 1.2.3685-21, допустимый диапазон</t>
  </si>
  <si>
    <t xml:space="preserve">Электропроводность</t>
  </si>
  <si>
    <t xml:space="preserve">мкСм/см</t>
  </si>
  <si>
    <t xml:space="preserve">Внутренний технологический норматив лаборатории (не ПДК)</t>
  </si>
  <si>
    <t xml:space="preserve">Градуировка Fe (перенесена из кейса калибровки)</t>
  </si>
  <si>
    <t xml:space="preserve">k (тангенс угла наклона)</t>
  </si>
  <si>
    <t xml:space="preserve">b (свободный член)</t>
  </si>
  <si>
    <t xml:space="preserve">Коэффициенты получены методом наименьших квадратов в отдельном кейсе калибровки (см. repo metal-calibration-analytics). Здесь используются для перевода сырого сигнала в концентрацию.</t>
  </si>
  <si>
    <t xml:space="preserve">Дата</t>
  </si>
  <si>
    <t xml:space="preserve">ID_пробы</t>
  </si>
  <si>
    <t xml:space="preserve">Точка_отбора</t>
  </si>
  <si>
    <t xml:space="preserve">A_Fe_сигнал</t>
  </si>
  <si>
    <t xml:space="preserve">pH_измерено</t>
  </si>
  <si>
    <t xml:space="preserve">Температура_C</t>
  </si>
  <si>
    <t xml:space="preserve">Электропроводность_мкСм_см</t>
  </si>
  <si>
    <t xml:space="preserve">2026-01-05</t>
  </si>
  <si>
    <t xml:space="preserve">S-0001</t>
  </si>
  <si>
    <t xml:space="preserve">Точка-1 (скважина)</t>
  </si>
  <si>
    <t xml:space="preserve">S-0002</t>
  </si>
  <si>
    <t xml:space="preserve">Точка-2 (резервуар)</t>
  </si>
  <si>
    <t xml:space="preserve">S-0003</t>
  </si>
  <si>
    <t xml:space="preserve">S-0004</t>
  </si>
  <si>
    <t xml:space="preserve">Точка-3 (сброс)</t>
  </si>
  <si>
    <t xml:space="preserve">2026-01-06</t>
  </si>
  <si>
    <t xml:space="preserve">S-0005</t>
  </si>
  <si>
    <t xml:space="preserve">S-0006</t>
  </si>
  <si>
    <t xml:space="preserve">S-0007</t>
  </si>
  <si>
    <t xml:space="preserve">S-0008</t>
  </si>
  <si>
    <t xml:space="preserve">2026-01-07</t>
  </si>
  <si>
    <t xml:space="preserve">S-0009</t>
  </si>
  <si>
    <t xml:space="preserve">S-0010</t>
  </si>
  <si>
    <t xml:space="preserve">S-0011</t>
  </si>
  <si>
    <t xml:space="preserve">S-0012</t>
  </si>
  <si>
    <t xml:space="preserve">2026-01-08</t>
  </si>
  <si>
    <t xml:space="preserve">S-0013</t>
  </si>
  <si>
    <t xml:space="preserve">S-0014</t>
  </si>
  <si>
    <t xml:space="preserve">S-0015</t>
  </si>
  <si>
    <t xml:space="preserve">S-0016</t>
  </si>
  <si>
    <t xml:space="preserve">2026-01-09</t>
  </si>
  <si>
    <t xml:space="preserve">S-0017</t>
  </si>
  <si>
    <t xml:space="preserve">S-0018</t>
  </si>
  <si>
    <t xml:space="preserve">S-0019</t>
  </si>
  <si>
    <t xml:space="preserve">S-0020</t>
  </si>
  <si>
    <t xml:space="preserve">2026-01-12</t>
  </si>
  <si>
    <t xml:space="preserve">S-0021</t>
  </si>
  <si>
    <t xml:space="preserve">S-0022</t>
  </si>
  <si>
    <t xml:space="preserve">S-0023</t>
  </si>
  <si>
    <t xml:space="preserve">S-0024</t>
  </si>
  <si>
    <t xml:space="preserve">2026-01-13</t>
  </si>
  <si>
    <t xml:space="preserve">S-0025</t>
  </si>
  <si>
    <t xml:space="preserve">S-0026</t>
  </si>
  <si>
    <t xml:space="preserve">S-0027</t>
  </si>
  <si>
    <t xml:space="preserve">S-0028</t>
  </si>
  <si>
    <t xml:space="preserve">2026-01-14</t>
  </si>
  <si>
    <t xml:space="preserve">S-0029</t>
  </si>
  <si>
    <t xml:space="preserve">S-0030</t>
  </si>
  <si>
    <t xml:space="preserve">S-0031</t>
  </si>
  <si>
    <t xml:space="preserve">S-0032</t>
  </si>
  <si>
    <t xml:space="preserve">2026-01-15</t>
  </si>
  <si>
    <t xml:space="preserve">S-0033</t>
  </si>
  <si>
    <t xml:space="preserve">S-0034</t>
  </si>
  <si>
    <t xml:space="preserve">S-0035</t>
  </si>
  <si>
    <t xml:space="preserve">S-0036</t>
  </si>
  <si>
    <t xml:space="preserve">2026-01-16</t>
  </si>
  <si>
    <t xml:space="preserve">S-0037</t>
  </si>
  <si>
    <t xml:space="preserve">S-0038</t>
  </si>
  <si>
    <t xml:space="preserve">S-0039</t>
  </si>
  <si>
    <t xml:space="preserve">S-0040</t>
  </si>
  <si>
    <t xml:space="preserve">2026-01-19</t>
  </si>
  <si>
    <t xml:space="preserve">S-0041</t>
  </si>
  <si>
    <t xml:space="preserve">S-0042</t>
  </si>
  <si>
    <t xml:space="preserve">S-0043</t>
  </si>
  <si>
    <t xml:space="preserve">S-0044</t>
  </si>
  <si>
    <t xml:space="preserve">2026-01-20</t>
  </si>
  <si>
    <t xml:space="preserve">S-0045</t>
  </si>
  <si>
    <t xml:space="preserve">S-0046</t>
  </si>
  <si>
    <t xml:space="preserve">S-0047</t>
  </si>
  <si>
    <t xml:space="preserve">S-0048</t>
  </si>
  <si>
    <t xml:space="preserve">2026-01-21</t>
  </si>
  <si>
    <t xml:space="preserve">S-0049</t>
  </si>
  <si>
    <t xml:space="preserve">S-0050</t>
  </si>
  <si>
    <t xml:space="preserve">S-0051</t>
  </si>
  <si>
    <t xml:space="preserve">S-0052</t>
  </si>
  <si>
    <t xml:space="preserve">2026-01-22</t>
  </si>
  <si>
    <t xml:space="preserve">S-0053</t>
  </si>
  <si>
    <t xml:space="preserve">S-0054</t>
  </si>
  <si>
    <t xml:space="preserve">S-0055</t>
  </si>
  <si>
    <t xml:space="preserve">S-0056</t>
  </si>
  <si>
    <t xml:space="preserve">2026-01-23</t>
  </si>
  <si>
    <t xml:space="preserve">S-0057</t>
  </si>
  <si>
    <t xml:space="preserve">S-0058</t>
  </si>
  <si>
    <t xml:space="preserve">S-0059</t>
  </si>
  <si>
    <t xml:space="preserve">S-0060</t>
  </si>
  <si>
    <t xml:space="preserve">2026-01-26</t>
  </si>
  <si>
    <t xml:space="preserve">S-0061</t>
  </si>
  <si>
    <t xml:space="preserve">S-0062</t>
  </si>
  <si>
    <t xml:space="preserve">S-0063</t>
  </si>
  <si>
    <t xml:space="preserve">S-0064</t>
  </si>
  <si>
    <t xml:space="preserve">2026-01-27</t>
  </si>
  <si>
    <t xml:space="preserve">S-0065</t>
  </si>
  <si>
    <t xml:space="preserve">S-0066</t>
  </si>
  <si>
    <t xml:space="preserve">S-0067</t>
  </si>
  <si>
    <t xml:space="preserve">S-0068</t>
  </si>
  <si>
    <t xml:space="preserve">2026-01-28</t>
  </si>
  <si>
    <t xml:space="preserve">S-0069</t>
  </si>
  <si>
    <t xml:space="preserve">S-0070</t>
  </si>
  <si>
    <t xml:space="preserve">S-0071</t>
  </si>
  <si>
    <t xml:space="preserve">S-0072</t>
  </si>
  <si>
    <t xml:space="preserve">2026-01-29</t>
  </si>
  <si>
    <t xml:space="preserve">S-0073</t>
  </si>
  <si>
    <t xml:space="preserve">S-0074</t>
  </si>
  <si>
    <t xml:space="preserve">S-0075</t>
  </si>
  <si>
    <t xml:space="preserve">S-0076</t>
  </si>
  <si>
    <t xml:space="preserve">2026-01-30</t>
  </si>
  <si>
    <t xml:space="preserve">S-0077</t>
  </si>
  <si>
    <t xml:space="preserve">S-0078</t>
  </si>
  <si>
    <t xml:space="preserve">S-0079</t>
  </si>
  <si>
    <t xml:space="preserve">S-0080</t>
  </si>
  <si>
    <t xml:space="preserve">2026-02-02</t>
  </si>
  <si>
    <t xml:space="preserve">S-0081</t>
  </si>
  <si>
    <t xml:space="preserve">S-0082</t>
  </si>
  <si>
    <t xml:space="preserve">S-0083</t>
  </si>
  <si>
    <t xml:space="preserve">S-0084</t>
  </si>
  <si>
    <t xml:space="preserve">2026-02-03</t>
  </si>
  <si>
    <t xml:space="preserve">S-0085</t>
  </si>
  <si>
    <t xml:space="preserve">S-0086</t>
  </si>
  <si>
    <t xml:space="preserve">S-0087</t>
  </si>
  <si>
    <t xml:space="preserve">S-0088</t>
  </si>
  <si>
    <t xml:space="preserve">2026-02-04</t>
  </si>
  <si>
    <t xml:space="preserve">S-0089</t>
  </si>
  <si>
    <t xml:space="preserve">S-0090</t>
  </si>
  <si>
    <t xml:space="preserve">S-0091</t>
  </si>
  <si>
    <t xml:space="preserve">S-0092</t>
  </si>
  <si>
    <t xml:space="preserve">2026-02-05</t>
  </si>
  <si>
    <t xml:space="preserve">S-0093</t>
  </si>
  <si>
    <t xml:space="preserve">S-0094</t>
  </si>
  <si>
    <t xml:space="preserve">S-0095</t>
  </si>
  <si>
    <t xml:space="preserve">S-0096</t>
  </si>
  <si>
    <t xml:space="preserve">2026-02-06</t>
  </si>
  <si>
    <t xml:space="preserve">S-0097</t>
  </si>
  <si>
    <t xml:space="preserve">S-0098</t>
  </si>
  <si>
    <t xml:space="preserve">S-0099</t>
  </si>
  <si>
    <t xml:space="preserve">S-0100</t>
  </si>
  <si>
    <t xml:space="preserve">2026-02-09</t>
  </si>
  <si>
    <t xml:space="preserve">S-0101</t>
  </si>
  <si>
    <t xml:space="preserve">S-0102</t>
  </si>
  <si>
    <t xml:space="preserve">S-0103</t>
  </si>
  <si>
    <t xml:space="preserve">S-0104</t>
  </si>
  <si>
    <t xml:space="preserve">2026-02-10</t>
  </si>
  <si>
    <t xml:space="preserve">S-0105</t>
  </si>
  <si>
    <t xml:space="preserve">S-0106</t>
  </si>
  <si>
    <t xml:space="preserve">S-0107</t>
  </si>
  <si>
    <t xml:space="preserve">S-0108</t>
  </si>
  <si>
    <t xml:space="preserve">2026-02-11</t>
  </si>
  <si>
    <t xml:space="preserve">S-0109</t>
  </si>
  <si>
    <t xml:space="preserve">S-0110</t>
  </si>
  <si>
    <t xml:space="preserve">S-0111</t>
  </si>
  <si>
    <t xml:space="preserve">S-0112</t>
  </si>
  <si>
    <t xml:space="preserve">2026-02-12</t>
  </si>
  <si>
    <t xml:space="preserve">S-0113</t>
  </si>
  <si>
    <t xml:space="preserve">S-0114</t>
  </si>
  <si>
    <t xml:space="preserve">S-0115</t>
  </si>
  <si>
    <t xml:space="preserve">S-0116</t>
  </si>
  <si>
    <t xml:space="preserve">2026-02-13</t>
  </si>
  <si>
    <t xml:space="preserve">S-0117</t>
  </si>
  <si>
    <t xml:space="preserve">S-0118</t>
  </si>
  <si>
    <t xml:space="preserve">S-0119</t>
  </si>
  <si>
    <t xml:space="preserve">S-0120</t>
  </si>
  <si>
    <t xml:space="preserve">2026-02-16</t>
  </si>
  <si>
    <t xml:space="preserve">S-0121</t>
  </si>
  <si>
    <t xml:space="preserve">S-0122</t>
  </si>
  <si>
    <t xml:space="preserve">S-0123</t>
  </si>
  <si>
    <t xml:space="preserve">S-0124</t>
  </si>
  <si>
    <t xml:space="preserve">2026-02-17</t>
  </si>
  <si>
    <t xml:space="preserve">S-0125</t>
  </si>
  <si>
    <t xml:space="preserve">S-0126</t>
  </si>
  <si>
    <t xml:space="preserve">S-0127</t>
  </si>
  <si>
    <t xml:space="preserve">S-0128</t>
  </si>
  <si>
    <t xml:space="preserve">2026-02-18</t>
  </si>
  <si>
    <t xml:space="preserve">S-0129</t>
  </si>
  <si>
    <t xml:space="preserve">S-0130</t>
  </si>
  <si>
    <t xml:space="preserve">S-0131</t>
  </si>
  <si>
    <t xml:space="preserve">S-0132</t>
  </si>
  <si>
    <t xml:space="preserve">2026-02-19</t>
  </si>
  <si>
    <t xml:space="preserve">S-0133</t>
  </si>
  <si>
    <t xml:space="preserve">S-0134</t>
  </si>
  <si>
    <t xml:space="preserve">S-0135</t>
  </si>
  <si>
    <t xml:space="preserve">S-0136</t>
  </si>
  <si>
    <t xml:space="preserve">2026-02-20</t>
  </si>
  <si>
    <t xml:space="preserve">S-0137</t>
  </si>
  <si>
    <t xml:space="preserve">S-0138</t>
  </si>
  <si>
    <t xml:space="preserve">S-0139</t>
  </si>
  <si>
    <t xml:space="preserve">S-0140</t>
  </si>
  <si>
    <t xml:space="preserve">2026-02-23</t>
  </si>
  <si>
    <t xml:space="preserve">S-0141</t>
  </si>
  <si>
    <t xml:space="preserve">S-0142</t>
  </si>
  <si>
    <t xml:space="preserve">S-0143</t>
  </si>
  <si>
    <t xml:space="preserve">S-0144</t>
  </si>
  <si>
    <t xml:space="preserve">2026-02-24</t>
  </si>
  <si>
    <t xml:space="preserve">S-0145</t>
  </si>
  <si>
    <t xml:space="preserve">S-0146</t>
  </si>
  <si>
    <t xml:space="preserve">S-0147</t>
  </si>
  <si>
    <t xml:space="preserve">S-0148</t>
  </si>
  <si>
    <t xml:space="preserve">2026-02-25</t>
  </si>
  <si>
    <t xml:space="preserve">S-0149</t>
  </si>
  <si>
    <t xml:space="preserve">S-0150</t>
  </si>
  <si>
    <t xml:space="preserve">S-0151</t>
  </si>
  <si>
    <t xml:space="preserve">S-0152</t>
  </si>
  <si>
    <t xml:space="preserve">2026-02-26</t>
  </si>
  <si>
    <t xml:space="preserve">S-0153</t>
  </si>
  <si>
    <t xml:space="preserve">S-0154</t>
  </si>
  <si>
    <t xml:space="preserve">S-0155</t>
  </si>
  <si>
    <t xml:space="preserve">S-0156</t>
  </si>
  <si>
    <t xml:space="preserve">2026-02-27</t>
  </si>
  <si>
    <t xml:space="preserve">S-0157</t>
  </si>
  <si>
    <t xml:space="preserve">S-0158</t>
  </si>
  <si>
    <t xml:space="preserve">S-0159</t>
  </si>
  <si>
    <t xml:space="preserve">S-0160</t>
  </si>
  <si>
    <t xml:space="preserve">2026-03-02</t>
  </si>
  <si>
    <t xml:space="preserve">S-0161</t>
  </si>
  <si>
    <t xml:space="preserve">S-0162</t>
  </si>
  <si>
    <t xml:space="preserve">S-0163</t>
  </si>
  <si>
    <t xml:space="preserve">S-0164</t>
  </si>
  <si>
    <t xml:space="preserve">2026-03-03</t>
  </si>
  <si>
    <t xml:space="preserve">S-0165</t>
  </si>
  <si>
    <t xml:space="preserve">S-0166</t>
  </si>
  <si>
    <t xml:space="preserve">S-0167</t>
  </si>
  <si>
    <t xml:space="preserve">S-0168</t>
  </si>
  <si>
    <t xml:space="preserve">2026-03-04</t>
  </si>
  <si>
    <t xml:space="preserve">S-0169</t>
  </si>
  <si>
    <t xml:space="preserve">S-0170</t>
  </si>
  <si>
    <t xml:space="preserve">S-0171</t>
  </si>
  <si>
    <t xml:space="preserve">S-0172</t>
  </si>
  <si>
    <t xml:space="preserve">2026-03-05</t>
  </si>
  <si>
    <t xml:space="preserve">S-0173</t>
  </si>
  <si>
    <t xml:space="preserve">S-0174</t>
  </si>
  <si>
    <t xml:space="preserve">S-0175</t>
  </si>
  <si>
    <t xml:space="preserve">S-0176</t>
  </si>
  <si>
    <t xml:space="preserve">2026-03-06</t>
  </si>
  <si>
    <t xml:space="preserve">S-0177</t>
  </si>
  <si>
    <t xml:space="preserve">S-0178</t>
  </si>
  <si>
    <t xml:space="preserve">S-0179</t>
  </si>
  <si>
    <t xml:space="preserve">S-0180</t>
  </si>
  <si>
    <t xml:space="preserve">2026-03-09</t>
  </si>
  <si>
    <t xml:space="preserve">S-0181</t>
  </si>
  <si>
    <t xml:space="preserve">S-0182</t>
  </si>
  <si>
    <t xml:space="preserve">S-0183</t>
  </si>
  <si>
    <t xml:space="preserve">S-0184</t>
  </si>
  <si>
    <t xml:space="preserve">2026-03-10</t>
  </si>
  <si>
    <t xml:space="preserve">S-0185</t>
  </si>
  <si>
    <t xml:space="preserve">S-0186</t>
  </si>
  <si>
    <t xml:space="preserve">S-0187</t>
  </si>
  <si>
    <t xml:space="preserve">S-0188</t>
  </si>
  <si>
    <t xml:space="preserve">2026-03-11</t>
  </si>
  <si>
    <t xml:space="preserve">S-0189</t>
  </si>
  <si>
    <t xml:space="preserve">S-0190</t>
  </si>
  <si>
    <t xml:space="preserve">S-0191</t>
  </si>
  <si>
    <t xml:space="preserve">S-0192</t>
  </si>
  <si>
    <t xml:space="preserve">2026-03-12</t>
  </si>
  <si>
    <t xml:space="preserve">S-0193</t>
  </si>
  <si>
    <t xml:space="preserve">S-0194</t>
  </si>
  <si>
    <t xml:space="preserve">S-0195</t>
  </si>
  <si>
    <t xml:space="preserve">S-0196</t>
  </si>
  <si>
    <t xml:space="preserve">2026-03-13</t>
  </si>
  <si>
    <t xml:space="preserve">S-0197</t>
  </si>
  <si>
    <t xml:space="preserve">S-0198</t>
  </si>
  <si>
    <t xml:space="preserve">S-0199</t>
  </si>
  <si>
    <t xml:space="preserve">S-0200</t>
  </si>
  <si>
    <t xml:space="preserve">2026-03-16</t>
  </si>
  <si>
    <t xml:space="preserve">S-0201</t>
  </si>
  <si>
    <t xml:space="preserve">S-0202</t>
  </si>
  <si>
    <t xml:space="preserve">S-0203</t>
  </si>
  <si>
    <t xml:space="preserve">S-0204</t>
  </si>
  <si>
    <t xml:space="preserve">2026-03-17</t>
  </si>
  <si>
    <t xml:space="preserve">S-0205</t>
  </si>
  <si>
    <t xml:space="preserve">S-0206</t>
  </si>
  <si>
    <t xml:space="preserve">S-0207</t>
  </si>
  <si>
    <t xml:space="preserve">S-0208</t>
  </si>
  <si>
    <t xml:space="preserve">2026-03-18</t>
  </si>
  <si>
    <t xml:space="preserve">S-0209</t>
  </si>
  <si>
    <t xml:space="preserve">S-0210</t>
  </si>
  <si>
    <t xml:space="preserve">S-0211</t>
  </si>
  <si>
    <t xml:space="preserve">S-0212</t>
  </si>
  <si>
    <t xml:space="preserve">2026-03-19</t>
  </si>
  <si>
    <t xml:space="preserve">S-0213</t>
  </si>
  <si>
    <t xml:space="preserve">S-0214</t>
  </si>
  <si>
    <t xml:space="preserve">S-0215</t>
  </si>
  <si>
    <t xml:space="preserve">S-0216</t>
  </si>
  <si>
    <t xml:space="preserve">2026-03-20</t>
  </si>
  <si>
    <t xml:space="preserve">S-0217</t>
  </si>
  <si>
    <t xml:space="preserve">S-0218</t>
  </si>
  <si>
    <t xml:space="preserve">S-0219</t>
  </si>
  <si>
    <t xml:space="preserve">S-0220</t>
  </si>
  <si>
    <t xml:space="preserve">2026-03-23</t>
  </si>
  <si>
    <t xml:space="preserve">S-0221</t>
  </si>
  <si>
    <t xml:space="preserve">S-0222</t>
  </si>
  <si>
    <t xml:space="preserve">S-0223</t>
  </si>
  <si>
    <t xml:space="preserve">S-0224</t>
  </si>
  <si>
    <t xml:space="preserve">2026-03-24</t>
  </si>
  <si>
    <t xml:space="preserve">S-0225</t>
  </si>
  <si>
    <t xml:space="preserve">S-0226</t>
  </si>
  <si>
    <t xml:space="preserve">S-0227</t>
  </si>
  <si>
    <t xml:space="preserve">S-0228</t>
  </si>
  <si>
    <t xml:space="preserve">2026-03-25</t>
  </si>
  <si>
    <t xml:space="preserve">S-0229</t>
  </si>
  <si>
    <t xml:space="preserve">S-0230</t>
  </si>
  <si>
    <t xml:space="preserve">S-0231</t>
  </si>
  <si>
    <t xml:space="preserve">S-0232</t>
  </si>
  <si>
    <t xml:space="preserve">2026-03-26</t>
  </si>
  <si>
    <t xml:space="preserve">S-0233</t>
  </si>
  <si>
    <t xml:space="preserve">S-0234</t>
  </si>
  <si>
    <t xml:space="preserve">S-0235</t>
  </si>
  <si>
    <t xml:space="preserve">S-0236</t>
  </si>
  <si>
    <t xml:space="preserve">2026-03-27</t>
  </si>
  <si>
    <t xml:space="preserve">S-0237</t>
  </si>
  <si>
    <t xml:space="preserve">S-0238</t>
  </si>
  <si>
    <t xml:space="preserve">S-0239</t>
  </si>
  <si>
    <t xml:space="preserve">S-0240</t>
  </si>
  <si>
    <t xml:space="preserve">2026-03-30</t>
  </si>
  <si>
    <t xml:space="preserve">S-0241</t>
  </si>
  <si>
    <t xml:space="preserve">S-0242</t>
  </si>
  <si>
    <t xml:space="preserve">S-0243</t>
  </si>
  <si>
    <t xml:space="preserve">S-0244</t>
  </si>
  <si>
    <t xml:space="preserve">2026-03-31</t>
  </si>
  <si>
    <t xml:space="preserve">S-0245</t>
  </si>
  <si>
    <t xml:space="preserve">S-0246</t>
  </si>
  <si>
    <t xml:space="preserve">S-0247</t>
  </si>
  <si>
    <t xml:space="preserve">S-0248</t>
  </si>
  <si>
    <t xml:space="preserve">2026-04-01</t>
  </si>
  <si>
    <t xml:space="preserve">S-0249</t>
  </si>
  <si>
    <t xml:space="preserve">S-0250</t>
  </si>
  <si>
    <t xml:space="preserve">S-0251</t>
  </si>
  <si>
    <t xml:space="preserve">S-0252</t>
  </si>
  <si>
    <t xml:space="preserve">2026-04-02</t>
  </si>
  <si>
    <t xml:space="preserve">S-0253</t>
  </si>
  <si>
    <t xml:space="preserve">S-0254</t>
  </si>
  <si>
    <t xml:space="preserve">S-0255</t>
  </si>
  <si>
    <t xml:space="preserve">S-0256</t>
  </si>
  <si>
    <t xml:space="preserve">2026-04-03</t>
  </si>
  <si>
    <t xml:space="preserve">S-0257</t>
  </si>
  <si>
    <t xml:space="preserve">S-0258</t>
  </si>
  <si>
    <t xml:space="preserve">S-0259</t>
  </si>
  <si>
    <t xml:space="preserve">S-0260</t>
  </si>
  <si>
    <t xml:space="preserve">2026-04-06</t>
  </si>
  <si>
    <t xml:space="preserve">S-0261</t>
  </si>
  <si>
    <t xml:space="preserve">S-0262</t>
  </si>
  <si>
    <t xml:space="preserve">S-0263</t>
  </si>
  <si>
    <t xml:space="preserve">S-0264</t>
  </si>
  <si>
    <t xml:space="preserve">2026-04-07</t>
  </si>
  <si>
    <t xml:space="preserve">S-0265</t>
  </si>
  <si>
    <t xml:space="preserve">S-0266</t>
  </si>
  <si>
    <t xml:space="preserve">S-0267</t>
  </si>
  <si>
    <t xml:space="preserve">S-0268</t>
  </si>
  <si>
    <t xml:space="preserve">2026-04-08</t>
  </si>
  <si>
    <t xml:space="preserve">S-0269</t>
  </si>
  <si>
    <t xml:space="preserve">S-0270</t>
  </si>
  <si>
    <t xml:space="preserve">S-0271</t>
  </si>
  <si>
    <t xml:space="preserve">S-0272</t>
  </si>
  <si>
    <t xml:space="preserve">2026-04-09</t>
  </si>
  <si>
    <t xml:space="preserve">S-0273</t>
  </si>
  <si>
    <t xml:space="preserve">S-0274</t>
  </si>
  <si>
    <t xml:space="preserve">S-0275</t>
  </si>
  <si>
    <t xml:space="preserve">S-0276</t>
  </si>
  <si>
    <t xml:space="preserve">2026-04-10</t>
  </si>
  <si>
    <t xml:space="preserve">S-0277</t>
  </si>
  <si>
    <t xml:space="preserve">S-0278</t>
  </si>
  <si>
    <t xml:space="preserve">S-0279</t>
  </si>
  <si>
    <t xml:space="preserve">S-0280</t>
  </si>
  <si>
    <t xml:space="preserve">2026-04-13</t>
  </si>
  <si>
    <t xml:space="preserve">S-0281</t>
  </si>
  <si>
    <t xml:space="preserve">S-0282</t>
  </si>
  <si>
    <t xml:space="preserve">S-0283</t>
  </si>
  <si>
    <t xml:space="preserve">S-0284</t>
  </si>
  <si>
    <t xml:space="preserve">2026-04-14</t>
  </si>
  <si>
    <t xml:space="preserve">S-0285</t>
  </si>
  <si>
    <t xml:space="preserve">S-0286</t>
  </si>
  <si>
    <t xml:space="preserve">S-0287</t>
  </si>
  <si>
    <t xml:space="preserve">S-0288</t>
  </si>
  <si>
    <t xml:space="preserve">2026-04-15</t>
  </si>
  <si>
    <t xml:space="preserve">S-0289</t>
  </si>
  <si>
    <t xml:space="preserve">S-0290</t>
  </si>
  <si>
    <t xml:space="preserve">S-0291</t>
  </si>
  <si>
    <t xml:space="preserve">S-0292</t>
  </si>
  <si>
    <t xml:space="preserve">2026-04-16</t>
  </si>
  <si>
    <t xml:space="preserve">S-0293</t>
  </si>
  <si>
    <t xml:space="preserve">S-0294</t>
  </si>
  <si>
    <t xml:space="preserve">S-0295</t>
  </si>
  <si>
    <t xml:space="preserve">S-0296</t>
  </si>
  <si>
    <t xml:space="preserve">2026-04-17</t>
  </si>
  <si>
    <t xml:space="preserve">S-0297</t>
  </si>
  <si>
    <t xml:space="preserve">S-0298</t>
  </si>
  <si>
    <t xml:space="preserve">S-0299</t>
  </si>
  <si>
    <t xml:space="preserve">S-0300</t>
  </si>
  <si>
    <t xml:space="preserve">2026-04-20</t>
  </si>
  <si>
    <t xml:space="preserve">S-0301</t>
  </si>
  <si>
    <t xml:space="preserve">S-0302</t>
  </si>
  <si>
    <t xml:space="preserve">S-0303</t>
  </si>
  <si>
    <t xml:space="preserve">S-0304</t>
  </si>
  <si>
    <t xml:space="preserve">2026-04-21</t>
  </si>
  <si>
    <t xml:space="preserve">S-0305</t>
  </si>
  <si>
    <t xml:space="preserve">S-0306</t>
  </si>
  <si>
    <t xml:space="preserve">S-0307</t>
  </si>
  <si>
    <t xml:space="preserve">S-0308</t>
  </si>
  <si>
    <t xml:space="preserve">2026-04-22</t>
  </si>
  <si>
    <t xml:space="preserve">S-0309</t>
  </si>
  <si>
    <t xml:space="preserve">S-0310</t>
  </si>
  <si>
    <t xml:space="preserve">S-0311</t>
  </si>
  <si>
    <t xml:space="preserve">S-0312</t>
  </si>
  <si>
    <t xml:space="preserve">2026-04-23</t>
  </si>
  <si>
    <t xml:space="preserve">S-0313</t>
  </si>
  <si>
    <t xml:space="preserve">S-0314</t>
  </si>
  <si>
    <t xml:space="preserve">S-0315</t>
  </si>
  <si>
    <t xml:space="preserve">S-0316</t>
  </si>
  <si>
    <t xml:space="preserve">2026-04-24</t>
  </si>
  <si>
    <t xml:space="preserve">S-0317</t>
  </si>
  <si>
    <t xml:space="preserve">S-0318</t>
  </si>
  <si>
    <t xml:space="preserve">S-0319</t>
  </si>
  <si>
    <t xml:space="preserve">S-0320</t>
  </si>
  <si>
    <t xml:space="preserve">2026-04-27</t>
  </si>
  <si>
    <t xml:space="preserve">S-0321</t>
  </si>
  <si>
    <t xml:space="preserve">S-0322</t>
  </si>
  <si>
    <t xml:space="preserve">S-0323</t>
  </si>
  <si>
    <t xml:space="preserve">S-0324</t>
  </si>
  <si>
    <t xml:space="preserve">2026-04-28</t>
  </si>
  <si>
    <t xml:space="preserve">S-0325</t>
  </si>
  <si>
    <t xml:space="preserve">S-0326</t>
  </si>
  <si>
    <t xml:space="preserve">S-0327</t>
  </si>
  <si>
    <t xml:space="preserve">S-0328</t>
  </si>
  <si>
    <t xml:space="preserve">2026-04-29</t>
  </si>
  <si>
    <t xml:space="preserve">S-0329</t>
  </si>
  <si>
    <t xml:space="preserve">S-0330</t>
  </si>
  <si>
    <t xml:space="preserve">S-0331</t>
  </si>
  <si>
    <t xml:space="preserve">S-0332</t>
  </si>
  <si>
    <t xml:space="preserve">2026-04-30</t>
  </si>
  <si>
    <t xml:space="preserve">S-0333</t>
  </si>
  <si>
    <t xml:space="preserve">S-0334</t>
  </si>
  <si>
    <t xml:space="preserve">S-0335</t>
  </si>
  <si>
    <t xml:space="preserve">S-0336</t>
  </si>
  <si>
    <t xml:space="preserve">2026-05-01</t>
  </si>
  <si>
    <t xml:space="preserve">S-0337</t>
  </si>
  <si>
    <t xml:space="preserve">S-0338</t>
  </si>
  <si>
    <t xml:space="preserve">S-0339</t>
  </si>
  <si>
    <t xml:space="preserve">S-0340</t>
  </si>
  <si>
    <t xml:space="preserve">2026-05-04</t>
  </si>
  <si>
    <t xml:space="preserve">S-0341</t>
  </si>
  <si>
    <t xml:space="preserve">S-0342</t>
  </si>
  <si>
    <t xml:space="preserve">S-0343</t>
  </si>
  <si>
    <t xml:space="preserve">S-0344</t>
  </si>
  <si>
    <t xml:space="preserve">2026-05-05</t>
  </si>
  <si>
    <t xml:space="preserve">S-0345</t>
  </si>
  <si>
    <t xml:space="preserve">S-0346</t>
  </si>
  <si>
    <t xml:space="preserve">S-0347</t>
  </si>
  <si>
    <t xml:space="preserve">S-0348</t>
  </si>
  <si>
    <t xml:space="preserve">2026-05-06</t>
  </si>
  <si>
    <t xml:space="preserve">S-0349</t>
  </si>
  <si>
    <t xml:space="preserve">S-0350</t>
  </si>
  <si>
    <t xml:space="preserve">S-0351</t>
  </si>
  <si>
    <t xml:space="preserve">S-0352</t>
  </si>
  <si>
    <t xml:space="preserve">2026-05-07</t>
  </si>
  <si>
    <t xml:space="preserve">S-0353</t>
  </si>
  <si>
    <t xml:space="preserve">S-0354</t>
  </si>
  <si>
    <t xml:space="preserve">S-0355</t>
  </si>
  <si>
    <t xml:space="preserve">S-0356</t>
  </si>
  <si>
    <t xml:space="preserve">2026-05-08</t>
  </si>
  <si>
    <t xml:space="preserve">S-0357</t>
  </si>
  <si>
    <t xml:space="preserve">S-0358</t>
  </si>
  <si>
    <t xml:space="preserve">S-0359</t>
  </si>
  <si>
    <t xml:space="preserve">S-0360</t>
  </si>
  <si>
    <t xml:space="preserve">2026-05-11</t>
  </si>
  <si>
    <t xml:space="preserve">S-0361</t>
  </si>
  <si>
    <t xml:space="preserve">S-0362</t>
  </si>
  <si>
    <t xml:space="preserve">S-0363</t>
  </si>
  <si>
    <t xml:space="preserve">S-0364</t>
  </si>
  <si>
    <t xml:space="preserve">2026-05-12</t>
  </si>
  <si>
    <t xml:space="preserve">S-0365</t>
  </si>
  <si>
    <t xml:space="preserve">S-0366</t>
  </si>
  <si>
    <t xml:space="preserve">S-0367</t>
  </si>
  <si>
    <t xml:space="preserve">S-0368</t>
  </si>
  <si>
    <t xml:space="preserve">2026-05-13</t>
  </si>
  <si>
    <t xml:space="preserve">S-0369</t>
  </si>
  <si>
    <t xml:space="preserve">S-0370</t>
  </si>
  <si>
    <t xml:space="preserve">S-0371</t>
  </si>
  <si>
    <t xml:space="preserve">S-0372</t>
  </si>
  <si>
    <t xml:space="preserve">2026-05-14</t>
  </si>
  <si>
    <t xml:space="preserve">S-0373</t>
  </si>
  <si>
    <t xml:space="preserve">S-0374</t>
  </si>
  <si>
    <t xml:space="preserve">S-0375</t>
  </si>
  <si>
    <t xml:space="preserve">S-0376</t>
  </si>
  <si>
    <t xml:space="preserve">Fe, мг/дм³</t>
  </si>
  <si>
    <t xml:space="preserve">Статус Fe</t>
  </si>
  <si>
    <t xml:space="preserve">Статус pH</t>
  </si>
  <si>
    <t xml:space="preserve">Электропроводность, мкСм/см</t>
  </si>
  <si>
    <t xml:space="preserve">Статус ЭП</t>
  </si>
  <si>
    <t xml:space="preserve">Итоговый статус пробы</t>
  </si>
  <si>
    <t xml:space="preserve">Дашборд контроля качества проб (помесячно)</t>
  </si>
  <si>
    <t xml:space="preserve">Месяц</t>
  </si>
  <si>
    <t xml:space="preserve">Всего проб</t>
  </si>
  <si>
    <t xml:space="preserve">Доля соответствия, %</t>
  </si>
  <si>
    <t xml:space="preserve">Превышений Fe</t>
  </si>
  <si>
    <t xml:space="preserve">Превышений pH</t>
  </si>
  <si>
    <t xml:space="preserve">Превышений ЭП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</si>
  <si>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</si>
  <si>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</si>
  <si>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</si>
  <si>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</si>
  <si>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</si>
  <si>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Все значения в таблице — формулы (COUNTIF/COUNTIFS), автоматически пересчитываются при добавлении новых проб на листе «Данные_ввод».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</si>
</sst>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0"/>
    <numFmt numFmtId="167" formatCode="0.00"/>
    <numFmt numFmtId="168" formatCode="General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Доля проб, соответствующих нормативам, по месяцам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Дашборд!C3</c:f>
              <c:strCache>
                <c:ptCount val="1"/>
                <c:pt idx="0">
                  <c:v>Доля соответствия,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Дашборд!$A$4:$A$8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Дашборд!$C$4:$C$8</c:f>
              <c:numCache>
                <c:formatCode>0.0</c:formatCode>
                <c:ptCount val="5"/>
                <c:pt idx="0">
                  <c:v>87.5</c:v>
                </c:pt>
                <c:pt idx="1">
                  <c:v>83.8</c:v>
                </c:pt>
                <c:pt idx="2">
                  <c:v>84.1</c:v>
                </c:pt>
                <c:pt idx="3">
                  <c:v>85.2</c:v>
                </c:pt>
                <c:pt idx="4">
                  <c:v>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697909"/>
        <c:axId val="22819157"/>
      </c:lineChart>
      <c:catAx>
        <c:axId val="54697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19157"/>
        <c:crosses val="autoZero"/>
        <c:auto val="1"/>
        <c:lblAlgn val="ctr"/>
        <c:lblOffset val="100"/>
        <c:noMultiLvlLbl val="0"/>
      </c:catAx>
      <c:valAx>
        <c:axId val="22819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соответствия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97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Превышения по параметрам,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Дашборд!D3</c:f>
              <c:strCache>
                <c:ptCount val="1"/>
                <c:pt idx="0">
                  <c:v>Превышений Fe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Дашборд!$A$4:$A$8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Дашборд!$D$4:$D$8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12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Дашборд!E3</c:f>
              <c:strCache>
                <c:ptCount val="1"/>
                <c:pt idx="0">
                  <c:v>Превышений pH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Дашборд!$A$4:$A$8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Дашборд!$E$4:$E$8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Дашборд!F3</c:f>
              <c:strCache>
                <c:ptCount val="1"/>
                <c:pt idx="0">
                  <c:v>Превышений ЭП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Дашборд!$A$4:$A$8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Дашборд!$F$4:$F$8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11503451"/>
        <c:axId val="71775684"/>
      </c:barChart>
      <c:catAx>
        <c:axId val="11503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75684"/>
        <c:crosses val="autoZero"/>
        <c:auto val="1"/>
        <c:lblAlgn val="ctr"/>
        <c:lblOffset val="100"/>
        <c:noMultiLvlLbl val="0"/>
      </c:catAx>
      <c:valAx>
        <c:axId val="71775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Число проб с превышением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034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17</xdr:col>
      <xdr:colOff>364680</xdr:colOff>
      <xdr:row>16</xdr:row>
      <xdr:rowOff>47520</xdr:rowOff>
    </xdr:to>
    <xdr:graphicFrame>
      <xdr:nvGraphicFramePr>
        <xdr:cNvPr id="0" name="Chart 1"/>
        <xdr:cNvGraphicFramePr/>
      </xdr:nvGraphicFramePr>
      <xdr:xfrm>
        <a:off x="653220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25200</xdr:rowOff>
    </xdr:from>
    <xdr:to>
      <xdr:col>17</xdr:col>
      <xdr:colOff>364680</xdr:colOff>
      <xdr:row>33</xdr:row>
      <xdr:rowOff>47520</xdr:rowOff>
    </xdr:to>
    <xdr:graphicFrame>
      <xdr:nvGraphicFramePr>
        <xdr:cNvPr id="1" name="Chart 2"/>
        <xdr:cNvGraphicFramePr/>
      </xdr:nvGraphicFramePr>
      <xdr:xfrm>
        <a:off x="6532200" y="3619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/>
      <c r="C2" s="2" t="n">
        <v>0.3</v>
      </c>
      <c r="D2" s="3" t="s">
        <v>6</v>
      </c>
      <c r="E2" s="3" t="s">
        <v>7</v>
      </c>
    </row>
    <row r="3" customFormat="false" ht="15" hidden="false" customHeight="false" outlineLevel="0" collapsed="false">
      <c r="A3" s="2" t="s">
        <v>8</v>
      </c>
      <c r="B3" s="2" t="n">
        <v>6</v>
      </c>
      <c r="C3" s="2" t="n">
        <v>9</v>
      </c>
      <c r="D3" s="3" t="s">
        <v>9</v>
      </c>
      <c r="E3" s="3" t="s">
        <v>10</v>
      </c>
    </row>
    <row r="4" customFormat="false" ht="26.85" hidden="false" customHeight="false" outlineLevel="0" collapsed="false">
      <c r="A4" s="2" t="s">
        <v>11</v>
      </c>
      <c r="B4" s="2"/>
      <c r="C4" s="2" t="n">
        <v>1000</v>
      </c>
      <c r="D4" s="3" t="s">
        <v>12</v>
      </c>
      <c r="E4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4" t="s">
        <v>14</v>
      </c>
      <c r="B1" s="4"/>
    </row>
    <row r="3" customFormat="false" ht="15" hidden="false" customHeight="false" outlineLevel="0" collapsed="false">
      <c r="A3" s="5" t="s">
        <v>15</v>
      </c>
      <c r="B3" s="6" t="n">
        <v>0.8373</v>
      </c>
    </row>
    <row r="4" customFormat="false" ht="15" hidden="false" customHeight="false" outlineLevel="0" collapsed="false">
      <c r="A4" s="5" t="s">
        <v>16</v>
      </c>
      <c r="B4" s="6" t="n">
        <v>0.0113</v>
      </c>
    </row>
    <row r="6" customFormat="false" ht="15" hidden="false" customHeight="true" outlineLevel="0" collapsed="false">
      <c r="A6" s="7" t="s">
        <v>17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</sheetData>
  <mergeCells count="2">
    <mergeCell ref="A1:B1"/>
    <mergeCell ref="A6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customFormat="false" ht="15" hidden="false" customHeight="false" outlineLevel="0" collapsed="false">
      <c r="A2" s="8" t="s">
        <v>25</v>
      </c>
      <c r="B2" s="8" t="s">
        <v>26</v>
      </c>
      <c r="C2" s="8" t="s">
        <v>27</v>
      </c>
      <c r="D2" s="8" t="n">
        <v>0.1131</v>
      </c>
      <c r="E2" s="8" t="n">
        <v>7.25</v>
      </c>
      <c r="F2" s="8" t="n">
        <v>24.3</v>
      </c>
      <c r="G2" s="8" t="n">
        <v>625</v>
      </c>
    </row>
    <row r="3" customFormat="false" ht="15" hidden="false" customHeight="false" outlineLevel="0" collapsed="false">
      <c r="A3" s="8" t="s">
        <v>25</v>
      </c>
      <c r="B3" s="8" t="s">
        <v>28</v>
      </c>
      <c r="C3" s="8" t="s">
        <v>29</v>
      </c>
      <c r="D3" s="8" t="n">
        <v>0.1463</v>
      </c>
      <c r="E3" s="8" t="n">
        <v>7.53</v>
      </c>
      <c r="F3" s="8" t="n">
        <v>9</v>
      </c>
      <c r="G3" s="8" t="n">
        <v>623</v>
      </c>
    </row>
    <row r="4" customFormat="false" ht="15" hidden="false" customHeight="false" outlineLevel="0" collapsed="false">
      <c r="A4" s="8" t="s">
        <v>25</v>
      </c>
      <c r="B4" s="8" t="s">
        <v>30</v>
      </c>
      <c r="C4" s="8" t="s">
        <v>27</v>
      </c>
      <c r="D4" s="8" t="n">
        <v>0.1275</v>
      </c>
      <c r="E4" s="8" t="n">
        <v>7.61</v>
      </c>
      <c r="F4" s="8" t="n">
        <v>11.2</v>
      </c>
      <c r="G4" s="8" t="n">
        <v>661</v>
      </c>
    </row>
    <row r="5" customFormat="false" ht="15" hidden="false" customHeight="false" outlineLevel="0" collapsed="false">
      <c r="A5" s="8" t="s">
        <v>25</v>
      </c>
      <c r="B5" s="8" t="s">
        <v>31</v>
      </c>
      <c r="C5" s="8" t="s">
        <v>32</v>
      </c>
      <c r="D5" s="8" t="n">
        <v>0.172</v>
      </c>
      <c r="E5" s="8" t="n">
        <v>6.36</v>
      </c>
      <c r="F5" s="8" t="n">
        <v>18.1</v>
      </c>
      <c r="G5" s="8" t="n">
        <v>675</v>
      </c>
    </row>
    <row r="6" customFormat="false" ht="15" hidden="false" customHeight="false" outlineLevel="0" collapsed="false">
      <c r="A6" s="8" t="s">
        <v>33</v>
      </c>
      <c r="B6" s="8" t="s">
        <v>34</v>
      </c>
      <c r="C6" s="8" t="s">
        <v>29</v>
      </c>
      <c r="D6" s="8" t="n">
        <v>0.0529</v>
      </c>
      <c r="E6" s="8" t="n">
        <v>5.92</v>
      </c>
      <c r="F6" s="8" t="n">
        <v>10.8</v>
      </c>
      <c r="G6" s="8" t="n">
        <v>290</v>
      </c>
    </row>
    <row r="7" customFormat="false" ht="15" hidden="false" customHeight="false" outlineLevel="0" collapsed="false">
      <c r="A7" s="8" t="s">
        <v>33</v>
      </c>
      <c r="B7" s="8" t="s">
        <v>35</v>
      </c>
      <c r="C7" s="8" t="s">
        <v>32</v>
      </c>
      <c r="D7" s="8" t="n">
        <v>0.1628</v>
      </c>
      <c r="E7" s="8" t="n">
        <v>7.79</v>
      </c>
      <c r="F7" s="8" t="n">
        <v>4.9</v>
      </c>
      <c r="G7" s="8" t="n">
        <v>736</v>
      </c>
    </row>
    <row r="8" customFormat="false" ht="15" hidden="false" customHeight="false" outlineLevel="0" collapsed="false">
      <c r="A8" s="8" t="s">
        <v>33</v>
      </c>
      <c r="B8" s="8" t="s">
        <v>36</v>
      </c>
      <c r="C8" s="8" t="s">
        <v>29</v>
      </c>
      <c r="D8" s="8" t="n">
        <v>0.2556</v>
      </c>
      <c r="E8" s="8" t="n">
        <v>6.82</v>
      </c>
      <c r="F8" s="8" t="n">
        <v>2.8</v>
      </c>
      <c r="G8" s="8" t="n">
        <v>548</v>
      </c>
    </row>
    <row r="9" customFormat="false" ht="15" hidden="false" customHeight="false" outlineLevel="0" collapsed="false">
      <c r="A9" s="8" t="s">
        <v>33</v>
      </c>
      <c r="B9" s="8" t="s">
        <v>37</v>
      </c>
      <c r="C9" s="8" t="s">
        <v>32</v>
      </c>
      <c r="D9" s="8" t="n">
        <v>0.3206</v>
      </c>
      <c r="E9" s="8" t="n">
        <v>6.79</v>
      </c>
      <c r="F9" s="8" t="n">
        <v>4.7</v>
      </c>
      <c r="G9" s="8" t="n">
        <v>362</v>
      </c>
    </row>
    <row r="10" customFormat="false" ht="15" hidden="false" customHeight="false" outlineLevel="0" collapsed="false">
      <c r="A10" s="8" t="s">
        <v>38</v>
      </c>
      <c r="B10" s="8" t="s">
        <v>39</v>
      </c>
      <c r="C10" s="8" t="s">
        <v>29</v>
      </c>
      <c r="D10" s="8" t="n">
        <v>0.0154</v>
      </c>
      <c r="E10" s="8" t="n">
        <v>7.32</v>
      </c>
      <c r="F10" s="8" t="n">
        <v>18.9</v>
      </c>
      <c r="G10" s="8" t="n">
        <v>677</v>
      </c>
    </row>
    <row r="11" customFormat="false" ht="15" hidden="false" customHeight="false" outlineLevel="0" collapsed="false">
      <c r="A11" s="8" t="s">
        <v>38</v>
      </c>
      <c r="B11" s="8" t="s">
        <v>40</v>
      </c>
      <c r="C11" s="8" t="s">
        <v>29</v>
      </c>
      <c r="D11" s="8" t="n">
        <v>0.1666</v>
      </c>
      <c r="E11" s="8" t="n">
        <v>7.03</v>
      </c>
      <c r="F11" s="8" t="n">
        <v>5.8</v>
      </c>
      <c r="G11" s="8" t="n">
        <v>730</v>
      </c>
    </row>
    <row r="12" customFormat="false" ht="15" hidden="false" customHeight="false" outlineLevel="0" collapsed="false">
      <c r="A12" s="8" t="s">
        <v>38</v>
      </c>
      <c r="B12" s="8" t="s">
        <v>41</v>
      </c>
      <c r="C12" s="8" t="s">
        <v>32</v>
      </c>
      <c r="D12" s="8" t="n">
        <v>0.2879</v>
      </c>
      <c r="E12" s="8" t="n">
        <v>6.98</v>
      </c>
      <c r="F12" s="8" t="n">
        <v>8.4</v>
      </c>
      <c r="G12" s="8" t="n">
        <v>917</v>
      </c>
    </row>
    <row r="13" customFormat="false" ht="15" hidden="false" customHeight="false" outlineLevel="0" collapsed="false">
      <c r="A13" s="8" t="s">
        <v>38</v>
      </c>
      <c r="B13" s="8" t="s">
        <v>42</v>
      </c>
      <c r="C13" s="8" t="s">
        <v>29</v>
      </c>
      <c r="D13" s="8" t="n">
        <v>0.1404</v>
      </c>
      <c r="E13" s="8" t="n">
        <v>6.71</v>
      </c>
      <c r="F13" s="8" t="n">
        <v>6.7</v>
      </c>
      <c r="G13" s="8" t="n">
        <v>482</v>
      </c>
    </row>
    <row r="14" customFormat="false" ht="15" hidden="false" customHeight="false" outlineLevel="0" collapsed="false">
      <c r="A14" s="8" t="s">
        <v>43</v>
      </c>
      <c r="B14" s="8" t="s">
        <v>44</v>
      </c>
      <c r="C14" s="8" t="s">
        <v>27</v>
      </c>
      <c r="D14" s="8" t="n">
        <v>0.0159</v>
      </c>
      <c r="E14" s="8" t="n">
        <v>7.57</v>
      </c>
      <c r="F14" s="8" t="n">
        <v>14</v>
      </c>
      <c r="G14" s="8" t="n">
        <v>219</v>
      </c>
    </row>
    <row r="15" customFormat="false" ht="15" hidden="false" customHeight="false" outlineLevel="0" collapsed="false">
      <c r="A15" s="8" t="s">
        <v>43</v>
      </c>
      <c r="B15" s="8" t="s">
        <v>45</v>
      </c>
      <c r="C15" s="8" t="s">
        <v>32</v>
      </c>
      <c r="D15" s="8" t="n">
        <v>0.3139</v>
      </c>
      <c r="E15" s="8" t="n">
        <v>7.6</v>
      </c>
      <c r="F15" s="8" t="n">
        <v>10.7</v>
      </c>
      <c r="G15" s="8" t="n">
        <v>366</v>
      </c>
    </row>
    <row r="16" customFormat="false" ht="15" hidden="false" customHeight="false" outlineLevel="0" collapsed="false">
      <c r="A16" s="8" t="s">
        <v>43</v>
      </c>
      <c r="B16" s="8" t="s">
        <v>46</v>
      </c>
      <c r="C16" s="8" t="s">
        <v>32</v>
      </c>
      <c r="D16" s="8" t="n">
        <v>0.1436</v>
      </c>
      <c r="E16" s="8" t="n">
        <v>6.9</v>
      </c>
      <c r="F16" s="8" t="n">
        <v>12.3</v>
      </c>
      <c r="G16" s="8" t="n">
        <v>828</v>
      </c>
    </row>
    <row r="17" customFormat="false" ht="15" hidden="false" customHeight="false" outlineLevel="0" collapsed="false">
      <c r="A17" s="8" t="s">
        <v>43</v>
      </c>
      <c r="B17" s="8" t="s">
        <v>47</v>
      </c>
      <c r="C17" s="8" t="s">
        <v>29</v>
      </c>
      <c r="D17" s="8" t="n">
        <v>0.1329</v>
      </c>
      <c r="E17" s="8" t="n">
        <v>7.57</v>
      </c>
      <c r="F17" s="8" t="n">
        <v>13.7</v>
      </c>
      <c r="G17" s="8" t="n">
        <v>758</v>
      </c>
    </row>
    <row r="18" customFormat="false" ht="15" hidden="false" customHeight="false" outlineLevel="0" collapsed="false">
      <c r="A18" s="8" t="s">
        <v>48</v>
      </c>
      <c r="B18" s="8" t="s">
        <v>49</v>
      </c>
      <c r="C18" s="8" t="s">
        <v>27</v>
      </c>
      <c r="D18" s="8" t="n">
        <v>0.0308</v>
      </c>
      <c r="E18" s="8" t="n">
        <v>7.23</v>
      </c>
      <c r="F18" s="8" t="n">
        <v>8.8</v>
      </c>
      <c r="G18" s="8" t="n">
        <v>835</v>
      </c>
    </row>
    <row r="19" customFormat="false" ht="15" hidden="false" customHeight="false" outlineLevel="0" collapsed="false">
      <c r="A19" s="8" t="s">
        <v>48</v>
      </c>
      <c r="B19" s="8" t="s">
        <v>50</v>
      </c>
      <c r="C19" s="8" t="s">
        <v>32</v>
      </c>
      <c r="D19" s="8" t="n">
        <v>0.2233</v>
      </c>
      <c r="E19" s="8" t="n">
        <v>6.94</v>
      </c>
      <c r="F19" s="8" t="n">
        <v>8</v>
      </c>
      <c r="G19" s="8" t="n">
        <v>710</v>
      </c>
    </row>
    <row r="20" customFormat="false" ht="15" hidden="false" customHeight="false" outlineLevel="0" collapsed="false">
      <c r="A20" s="8" t="s">
        <v>48</v>
      </c>
      <c r="B20" s="8" t="s">
        <v>51</v>
      </c>
      <c r="C20" s="8" t="s">
        <v>27</v>
      </c>
      <c r="D20" s="8" t="n">
        <v>0.0385</v>
      </c>
      <c r="E20" s="8" t="n">
        <v>7.46</v>
      </c>
      <c r="F20" s="8" t="n">
        <v>13</v>
      </c>
      <c r="G20" s="8" t="n">
        <v>656</v>
      </c>
    </row>
    <row r="21" customFormat="false" ht="15" hidden="false" customHeight="false" outlineLevel="0" collapsed="false">
      <c r="A21" s="8" t="s">
        <v>48</v>
      </c>
      <c r="B21" s="8" t="s">
        <v>52</v>
      </c>
      <c r="C21" s="8" t="s">
        <v>32</v>
      </c>
      <c r="D21" s="8" t="n">
        <v>0.1681</v>
      </c>
      <c r="E21" s="8" t="n">
        <v>6.95</v>
      </c>
      <c r="F21" s="8" t="n">
        <v>10.3</v>
      </c>
      <c r="G21" s="8" t="n">
        <v>698</v>
      </c>
    </row>
    <row r="22" customFormat="false" ht="15" hidden="false" customHeight="false" outlineLevel="0" collapsed="false">
      <c r="A22" s="8" t="s">
        <v>53</v>
      </c>
      <c r="B22" s="8" t="s">
        <v>54</v>
      </c>
      <c r="C22" s="8" t="s">
        <v>29</v>
      </c>
      <c r="D22" s="8" t="n">
        <v>0.1867</v>
      </c>
      <c r="E22" s="8" t="n">
        <v>7.68</v>
      </c>
      <c r="F22" s="8" t="n">
        <v>9</v>
      </c>
      <c r="G22" s="8" t="n">
        <v>559</v>
      </c>
    </row>
    <row r="23" customFormat="false" ht="15" hidden="false" customHeight="false" outlineLevel="0" collapsed="false">
      <c r="A23" s="8" t="s">
        <v>53</v>
      </c>
      <c r="B23" s="8" t="s">
        <v>55</v>
      </c>
      <c r="C23" s="8" t="s">
        <v>27</v>
      </c>
      <c r="D23" s="8" t="n">
        <v>0.1151</v>
      </c>
      <c r="E23" s="8" t="n">
        <v>6.96</v>
      </c>
      <c r="F23" s="8" t="n">
        <v>8.9</v>
      </c>
      <c r="G23" s="8" t="n">
        <v>930</v>
      </c>
    </row>
    <row r="24" customFormat="false" ht="15" hidden="false" customHeight="false" outlineLevel="0" collapsed="false">
      <c r="A24" s="8" t="s">
        <v>53</v>
      </c>
      <c r="B24" s="8" t="s">
        <v>56</v>
      </c>
      <c r="C24" s="8" t="s">
        <v>27</v>
      </c>
      <c r="D24" s="8" t="n">
        <v>0.1879</v>
      </c>
      <c r="E24" s="8" t="n">
        <v>8.04</v>
      </c>
      <c r="F24" s="8" t="n">
        <v>10.6</v>
      </c>
      <c r="G24" s="8" t="n">
        <v>698</v>
      </c>
    </row>
    <row r="25" customFormat="false" ht="15" hidden="false" customHeight="false" outlineLevel="0" collapsed="false">
      <c r="A25" s="8" t="s">
        <v>53</v>
      </c>
      <c r="B25" s="8" t="s">
        <v>57</v>
      </c>
      <c r="C25" s="8" t="s">
        <v>32</v>
      </c>
      <c r="D25" s="8" t="n">
        <v>0.2689</v>
      </c>
      <c r="E25" s="8" t="n">
        <v>7</v>
      </c>
      <c r="F25" s="8" t="n">
        <v>9.4</v>
      </c>
      <c r="G25" s="8" t="n">
        <v>684</v>
      </c>
    </row>
    <row r="26" customFormat="false" ht="15" hidden="false" customHeight="false" outlineLevel="0" collapsed="false">
      <c r="A26" s="8" t="s">
        <v>58</v>
      </c>
      <c r="B26" s="8" t="s">
        <v>59</v>
      </c>
      <c r="C26" s="8" t="s">
        <v>27</v>
      </c>
      <c r="D26" s="8" t="n">
        <v>0.0321</v>
      </c>
      <c r="E26" s="8" t="n">
        <v>8.69</v>
      </c>
      <c r="F26" s="8" t="n">
        <v>18</v>
      </c>
      <c r="G26" s="8" t="n">
        <v>831</v>
      </c>
    </row>
    <row r="27" customFormat="false" ht="15" hidden="false" customHeight="false" outlineLevel="0" collapsed="false">
      <c r="A27" s="8" t="s">
        <v>58</v>
      </c>
      <c r="B27" s="8" t="s">
        <v>60</v>
      </c>
      <c r="C27" s="8" t="s">
        <v>27</v>
      </c>
      <c r="D27" s="8" t="n">
        <v>0.0594</v>
      </c>
      <c r="E27" s="8" t="n">
        <v>6.58</v>
      </c>
      <c r="F27" s="8" t="n">
        <v>6.5</v>
      </c>
      <c r="G27" s="8" t="n">
        <v>568</v>
      </c>
    </row>
    <row r="28" customFormat="false" ht="15" hidden="false" customHeight="false" outlineLevel="0" collapsed="false">
      <c r="A28" s="8" t="s">
        <v>58</v>
      </c>
      <c r="B28" s="8" t="s">
        <v>61</v>
      </c>
      <c r="C28" s="8" t="s">
        <v>32</v>
      </c>
      <c r="D28" s="8" t="n">
        <v>0.0967</v>
      </c>
      <c r="E28" s="8" t="n">
        <v>6.25</v>
      </c>
      <c r="F28" s="8" t="n">
        <v>10</v>
      </c>
      <c r="G28" s="8" t="n">
        <v>781</v>
      </c>
    </row>
    <row r="29" customFormat="false" ht="15" hidden="false" customHeight="false" outlineLevel="0" collapsed="false">
      <c r="A29" s="8" t="s">
        <v>58</v>
      </c>
      <c r="B29" s="8" t="s">
        <v>62</v>
      </c>
      <c r="C29" s="8" t="s">
        <v>27</v>
      </c>
      <c r="D29" s="8" t="n">
        <v>0.1353</v>
      </c>
      <c r="E29" s="8" t="n">
        <v>8.14</v>
      </c>
      <c r="F29" s="8" t="n">
        <v>5.3</v>
      </c>
      <c r="G29" s="8" t="n">
        <v>771</v>
      </c>
    </row>
    <row r="30" customFormat="false" ht="15" hidden="false" customHeight="false" outlineLevel="0" collapsed="false">
      <c r="A30" s="8" t="s">
        <v>63</v>
      </c>
      <c r="B30" s="8" t="s">
        <v>64</v>
      </c>
      <c r="C30" s="8" t="s">
        <v>29</v>
      </c>
      <c r="D30" s="8" t="n">
        <v>0.2414</v>
      </c>
      <c r="E30" s="8" t="n">
        <v>7.15</v>
      </c>
      <c r="F30" s="8" t="n">
        <v>13.7</v>
      </c>
      <c r="G30" s="8" t="n">
        <v>572</v>
      </c>
    </row>
    <row r="31" customFormat="false" ht="15" hidden="false" customHeight="false" outlineLevel="0" collapsed="false">
      <c r="A31" s="8" t="s">
        <v>63</v>
      </c>
      <c r="B31" s="8" t="s">
        <v>65</v>
      </c>
      <c r="C31" s="8" t="s">
        <v>32</v>
      </c>
      <c r="D31" s="8" t="n">
        <v>0.2088</v>
      </c>
      <c r="E31" s="8" t="n">
        <v>7.81</v>
      </c>
      <c r="F31" s="8" t="n">
        <v>8.7</v>
      </c>
      <c r="G31" s="8" t="n">
        <v>743</v>
      </c>
    </row>
    <row r="32" customFormat="false" ht="15" hidden="false" customHeight="false" outlineLevel="0" collapsed="false">
      <c r="A32" s="8" t="s">
        <v>63</v>
      </c>
      <c r="B32" s="8" t="s">
        <v>66</v>
      </c>
      <c r="C32" s="8" t="s">
        <v>27</v>
      </c>
      <c r="D32" s="8" t="n">
        <v>0.1615</v>
      </c>
      <c r="E32" s="8" t="n">
        <v>5.91</v>
      </c>
      <c r="F32" s="8" t="n">
        <v>5.1</v>
      </c>
      <c r="G32" s="8" t="n">
        <v>700</v>
      </c>
    </row>
    <row r="33" customFormat="false" ht="15" hidden="false" customHeight="false" outlineLevel="0" collapsed="false">
      <c r="A33" s="8" t="s">
        <v>63</v>
      </c>
      <c r="B33" s="8" t="s">
        <v>67</v>
      </c>
      <c r="C33" s="8" t="s">
        <v>32</v>
      </c>
      <c r="D33" s="8" t="n">
        <v>0.1401</v>
      </c>
      <c r="E33" s="8" t="n">
        <v>7.57</v>
      </c>
      <c r="F33" s="8" t="n">
        <v>9.6</v>
      </c>
      <c r="G33" s="8" t="n">
        <v>712</v>
      </c>
    </row>
    <row r="34" customFormat="false" ht="15" hidden="false" customHeight="false" outlineLevel="0" collapsed="false">
      <c r="A34" s="8" t="s">
        <v>68</v>
      </c>
      <c r="B34" s="8" t="s">
        <v>69</v>
      </c>
      <c r="C34" s="8" t="s">
        <v>32</v>
      </c>
      <c r="D34" s="8" t="n">
        <v>0.077</v>
      </c>
      <c r="E34" s="8" t="n">
        <v>8.47</v>
      </c>
      <c r="F34" s="8" t="n">
        <v>12.5</v>
      </c>
      <c r="G34" s="8" t="n">
        <v>758</v>
      </c>
    </row>
    <row r="35" customFormat="false" ht="15" hidden="false" customHeight="false" outlineLevel="0" collapsed="false">
      <c r="A35" s="8" t="s">
        <v>68</v>
      </c>
      <c r="B35" s="8" t="s">
        <v>70</v>
      </c>
      <c r="C35" s="8" t="s">
        <v>29</v>
      </c>
      <c r="D35" s="8" t="n">
        <v>0.1284</v>
      </c>
      <c r="E35" s="8" t="n">
        <v>6.79</v>
      </c>
      <c r="F35" s="8" t="n">
        <v>15.8</v>
      </c>
      <c r="G35" s="8" t="n">
        <v>521</v>
      </c>
    </row>
    <row r="36" customFormat="false" ht="15" hidden="false" customHeight="false" outlineLevel="0" collapsed="false">
      <c r="A36" s="8" t="s">
        <v>68</v>
      </c>
      <c r="B36" s="8" t="s">
        <v>71</v>
      </c>
      <c r="C36" s="8" t="s">
        <v>29</v>
      </c>
      <c r="D36" s="8" t="n">
        <v>0.2331</v>
      </c>
      <c r="E36" s="8" t="n">
        <v>7.25</v>
      </c>
      <c r="F36" s="8" t="n">
        <v>8.8</v>
      </c>
      <c r="G36" s="8" t="n">
        <v>622</v>
      </c>
    </row>
    <row r="37" customFormat="false" ht="15" hidden="false" customHeight="false" outlineLevel="0" collapsed="false">
      <c r="A37" s="8" t="s">
        <v>68</v>
      </c>
      <c r="B37" s="8" t="s">
        <v>72</v>
      </c>
      <c r="C37" s="8" t="s">
        <v>32</v>
      </c>
      <c r="D37" s="8" t="n">
        <v>0.1994</v>
      </c>
      <c r="E37" s="8" t="n">
        <v>7.28</v>
      </c>
      <c r="F37" s="8" t="n">
        <v>4.8</v>
      </c>
      <c r="G37" s="8" t="n">
        <v>812</v>
      </c>
    </row>
    <row r="38" customFormat="false" ht="15" hidden="false" customHeight="false" outlineLevel="0" collapsed="false">
      <c r="A38" s="8" t="s">
        <v>73</v>
      </c>
      <c r="B38" s="8" t="s">
        <v>74</v>
      </c>
      <c r="C38" s="8" t="s">
        <v>32</v>
      </c>
      <c r="D38" s="8" t="n">
        <v>0.1493</v>
      </c>
      <c r="E38" s="8" t="n">
        <v>7.68</v>
      </c>
      <c r="F38" s="8" t="n">
        <v>10.2</v>
      </c>
      <c r="G38" s="8" t="n">
        <v>767</v>
      </c>
    </row>
    <row r="39" customFormat="false" ht="15" hidden="false" customHeight="false" outlineLevel="0" collapsed="false">
      <c r="A39" s="8" t="s">
        <v>73</v>
      </c>
      <c r="B39" s="8" t="s">
        <v>75</v>
      </c>
      <c r="C39" s="8" t="s">
        <v>29</v>
      </c>
      <c r="D39" s="8" t="n">
        <v>0.1348</v>
      </c>
      <c r="E39" s="8" t="n">
        <v>7.11</v>
      </c>
      <c r="F39" s="8" t="n">
        <v>7</v>
      </c>
      <c r="G39" s="8" t="n">
        <v>599</v>
      </c>
    </row>
    <row r="40" customFormat="false" ht="15" hidden="false" customHeight="false" outlineLevel="0" collapsed="false">
      <c r="A40" s="8" t="s">
        <v>73</v>
      </c>
      <c r="B40" s="8" t="s">
        <v>76</v>
      </c>
      <c r="C40" s="8" t="s">
        <v>27</v>
      </c>
      <c r="D40" s="8" t="n">
        <v>0.0955</v>
      </c>
      <c r="E40" s="8" t="n">
        <v>7.22</v>
      </c>
      <c r="F40" s="8" t="n">
        <v>13.7</v>
      </c>
      <c r="G40" s="8" t="n">
        <v>863</v>
      </c>
    </row>
    <row r="41" customFormat="false" ht="15" hidden="false" customHeight="false" outlineLevel="0" collapsed="false">
      <c r="A41" s="8" t="s">
        <v>73</v>
      </c>
      <c r="B41" s="8" t="s">
        <v>77</v>
      </c>
      <c r="C41" s="8" t="s">
        <v>29</v>
      </c>
      <c r="D41" s="8" t="n">
        <v>0.0992</v>
      </c>
      <c r="E41" s="8" t="n">
        <v>7.08</v>
      </c>
      <c r="F41" s="8" t="n">
        <v>7.3</v>
      </c>
      <c r="G41" s="8" t="n">
        <v>654</v>
      </c>
    </row>
    <row r="42" customFormat="false" ht="15" hidden="false" customHeight="false" outlineLevel="0" collapsed="false">
      <c r="A42" s="8" t="s">
        <v>78</v>
      </c>
      <c r="B42" s="8" t="s">
        <v>79</v>
      </c>
      <c r="C42" s="8" t="s">
        <v>27</v>
      </c>
      <c r="D42" s="8" t="n">
        <v>0.1138</v>
      </c>
      <c r="E42" s="8" t="n">
        <v>7.64</v>
      </c>
      <c r="F42" s="8" t="n">
        <v>2.4</v>
      </c>
      <c r="G42" s="8" t="n">
        <v>411</v>
      </c>
    </row>
    <row r="43" customFormat="false" ht="15" hidden="false" customHeight="false" outlineLevel="0" collapsed="false">
      <c r="A43" s="8" t="s">
        <v>78</v>
      </c>
      <c r="B43" s="8" t="s">
        <v>80</v>
      </c>
      <c r="C43" s="8" t="s">
        <v>32</v>
      </c>
      <c r="D43" s="8" t="n">
        <v>0.3184</v>
      </c>
      <c r="E43" s="8" t="n">
        <v>7.36</v>
      </c>
      <c r="F43" s="8" t="n">
        <v>11</v>
      </c>
      <c r="G43" s="8" t="n">
        <v>346</v>
      </c>
    </row>
    <row r="44" customFormat="false" ht="15" hidden="false" customHeight="false" outlineLevel="0" collapsed="false">
      <c r="A44" s="8" t="s">
        <v>78</v>
      </c>
      <c r="B44" s="8" t="s">
        <v>81</v>
      </c>
      <c r="C44" s="8" t="s">
        <v>29</v>
      </c>
      <c r="D44" s="8" t="n">
        <v>0.1279</v>
      </c>
      <c r="E44" s="8" t="n">
        <v>6.57</v>
      </c>
      <c r="F44" s="8" t="n">
        <v>17.5</v>
      </c>
      <c r="G44" s="8" t="n">
        <v>545</v>
      </c>
    </row>
    <row r="45" customFormat="false" ht="15" hidden="false" customHeight="false" outlineLevel="0" collapsed="false">
      <c r="A45" s="8" t="s">
        <v>78</v>
      </c>
      <c r="B45" s="8" t="s">
        <v>82</v>
      </c>
      <c r="C45" s="8" t="s">
        <v>29</v>
      </c>
      <c r="D45" s="8" t="n">
        <v>0.206</v>
      </c>
      <c r="E45" s="8" t="n">
        <v>7.07</v>
      </c>
      <c r="F45" s="8" t="n">
        <v>10.8</v>
      </c>
      <c r="G45" s="8" t="n">
        <v>720</v>
      </c>
    </row>
    <row r="46" customFormat="false" ht="15" hidden="false" customHeight="false" outlineLevel="0" collapsed="false">
      <c r="A46" s="8" t="s">
        <v>83</v>
      </c>
      <c r="B46" s="8" t="s">
        <v>84</v>
      </c>
      <c r="C46" s="8" t="s">
        <v>32</v>
      </c>
      <c r="D46" s="8" t="n">
        <v>0.158</v>
      </c>
      <c r="E46" s="8" t="n">
        <v>6.68</v>
      </c>
      <c r="F46" s="8" t="n">
        <v>13.5</v>
      </c>
      <c r="G46" s="8" t="n">
        <v>712</v>
      </c>
    </row>
    <row r="47" customFormat="false" ht="15" hidden="false" customHeight="false" outlineLevel="0" collapsed="false">
      <c r="A47" s="8" t="s">
        <v>83</v>
      </c>
      <c r="B47" s="8" t="s">
        <v>85</v>
      </c>
      <c r="C47" s="8" t="s">
        <v>29</v>
      </c>
      <c r="D47" s="8" t="n">
        <v>0.1593</v>
      </c>
      <c r="E47" s="8" t="n">
        <v>7.65</v>
      </c>
      <c r="F47" s="8" t="n">
        <v>4.4</v>
      </c>
      <c r="G47" s="8" t="n">
        <v>710</v>
      </c>
    </row>
    <row r="48" customFormat="false" ht="15" hidden="false" customHeight="false" outlineLevel="0" collapsed="false">
      <c r="A48" s="8" t="s">
        <v>83</v>
      </c>
      <c r="B48" s="8" t="s">
        <v>86</v>
      </c>
      <c r="C48" s="8" t="s">
        <v>29</v>
      </c>
      <c r="D48" s="8" t="n">
        <v>0.1601</v>
      </c>
      <c r="E48" s="8" t="n">
        <v>7.57</v>
      </c>
      <c r="F48" s="8" t="n">
        <v>14.8</v>
      </c>
      <c r="G48" s="8" t="n">
        <v>762</v>
      </c>
    </row>
    <row r="49" customFormat="false" ht="15" hidden="false" customHeight="false" outlineLevel="0" collapsed="false">
      <c r="A49" s="8" t="s">
        <v>83</v>
      </c>
      <c r="B49" s="8" t="s">
        <v>87</v>
      </c>
      <c r="C49" s="8" t="s">
        <v>29</v>
      </c>
      <c r="D49" s="8" t="n">
        <v>0.12</v>
      </c>
      <c r="E49" s="8" t="n">
        <v>6.8</v>
      </c>
      <c r="F49" s="8" t="n">
        <v>13.9</v>
      </c>
      <c r="G49" s="8" t="n">
        <v>800</v>
      </c>
    </row>
    <row r="50" customFormat="false" ht="15" hidden="false" customHeight="false" outlineLevel="0" collapsed="false">
      <c r="A50" s="8" t="s">
        <v>88</v>
      </c>
      <c r="B50" s="8" t="s">
        <v>89</v>
      </c>
      <c r="C50" s="8" t="s">
        <v>32</v>
      </c>
      <c r="D50" s="8" t="n">
        <v>0.1324</v>
      </c>
      <c r="E50" s="8" t="n">
        <v>7.27</v>
      </c>
      <c r="F50" s="8" t="n">
        <v>6.8</v>
      </c>
      <c r="G50" s="8" t="n">
        <v>382</v>
      </c>
    </row>
    <row r="51" customFormat="false" ht="15" hidden="false" customHeight="false" outlineLevel="0" collapsed="false">
      <c r="A51" s="8" t="s">
        <v>88</v>
      </c>
      <c r="B51" s="8" t="s">
        <v>90</v>
      </c>
      <c r="C51" s="8" t="s">
        <v>29</v>
      </c>
      <c r="D51" s="8" t="n">
        <v>0.0627</v>
      </c>
      <c r="E51" s="8" t="n">
        <v>7.08</v>
      </c>
      <c r="F51" s="8" t="n">
        <v>14.5</v>
      </c>
      <c r="G51" s="8" t="n">
        <v>636</v>
      </c>
    </row>
    <row r="52" customFormat="false" ht="15" hidden="false" customHeight="false" outlineLevel="0" collapsed="false">
      <c r="A52" s="8" t="s">
        <v>88</v>
      </c>
      <c r="B52" s="8" t="s">
        <v>91</v>
      </c>
      <c r="C52" s="8" t="s">
        <v>27</v>
      </c>
      <c r="D52" s="8" t="n">
        <v>0.2411</v>
      </c>
      <c r="E52" s="8" t="n">
        <v>7.07</v>
      </c>
      <c r="F52" s="8" t="n">
        <v>4.3</v>
      </c>
      <c r="G52" s="8" t="n">
        <v>640</v>
      </c>
    </row>
    <row r="53" customFormat="false" ht="15" hidden="false" customHeight="false" outlineLevel="0" collapsed="false">
      <c r="A53" s="8" t="s">
        <v>88</v>
      </c>
      <c r="B53" s="8" t="s">
        <v>92</v>
      </c>
      <c r="C53" s="8" t="s">
        <v>29</v>
      </c>
      <c r="D53" s="8" t="n">
        <v>0.1733</v>
      </c>
      <c r="E53" s="8" t="n">
        <v>7.76</v>
      </c>
      <c r="F53" s="8" t="n">
        <v>18.9</v>
      </c>
      <c r="G53" s="8" t="n">
        <v>651</v>
      </c>
    </row>
    <row r="54" customFormat="false" ht="15" hidden="false" customHeight="false" outlineLevel="0" collapsed="false">
      <c r="A54" s="8" t="s">
        <v>93</v>
      </c>
      <c r="B54" s="8" t="s">
        <v>94</v>
      </c>
      <c r="C54" s="8" t="s">
        <v>29</v>
      </c>
      <c r="D54" s="8" t="n">
        <v>0.0918</v>
      </c>
      <c r="E54" s="8" t="n">
        <v>7.24</v>
      </c>
      <c r="F54" s="8" t="n">
        <v>14.6</v>
      </c>
      <c r="G54" s="8" t="n">
        <v>590</v>
      </c>
    </row>
    <row r="55" customFormat="false" ht="15" hidden="false" customHeight="false" outlineLevel="0" collapsed="false">
      <c r="A55" s="8" t="s">
        <v>93</v>
      </c>
      <c r="B55" s="8" t="s">
        <v>95</v>
      </c>
      <c r="C55" s="8" t="s">
        <v>32</v>
      </c>
      <c r="D55" s="8" t="n">
        <v>0.0842</v>
      </c>
      <c r="E55" s="8" t="n">
        <v>7.97</v>
      </c>
      <c r="F55" s="8" t="n">
        <v>6.5</v>
      </c>
      <c r="G55" s="8" t="n">
        <v>410</v>
      </c>
    </row>
    <row r="56" customFormat="false" ht="15" hidden="false" customHeight="false" outlineLevel="0" collapsed="false">
      <c r="A56" s="8" t="s">
        <v>93</v>
      </c>
      <c r="B56" s="8" t="s">
        <v>96</v>
      </c>
      <c r="C56" s="8" t="s">
        <v>32</v>
      </c>
      <c r="D56" s="8" t="n">
        <v>0.1746</v>
      </c>
      <c r="E56" s="8" t="n">
        <v>7.68</v>
      </c>
      <c r="F56" s="8" t="n">
        <v>3.9</v>
      </c>
      <c r="G56" s="8" t="n">
        <v>641</v>
      </c>
    </row>
    <row r="57" customFormat="false" ht="15" hidden="false" customHeight="false" outlineLevel="0" collapsed="false">
      <c r="A57" s="8" t="s">
        <v>93</v>
      </c>
      <c r="B57" s="8" t="s">
        <v>97</v>
      </c>
      <c r="C57" s="8" t="s">
        <v>29</v>
      </c>
      <c r="D57" s="8" t="n">
        <v>0.0526</v>
      </c>
      <c r="E57" s="8" t="n">
        <v>7.37</v>
      </c>
      <c r="F57" s="8" t="n">
        <v>14.1</v>
      </c>
      <c r="G57" s="8" t="n">
        <v>685</v>
      </c>
    </row>
    <row r="58" customFormat="false" ht="15" hidden="false" customHeight="false" outlineLevel="0" collapsed="false">
      <c r="A58" s="8" t="s">
        <v>98</v>
      </c>
      <c r="B58" s="8" t="s">
        <v>99</v>
      </c>
      <c r="C58" s="8" t="s">
        <v>32</v>
      </c>
      <c r="D58" s="8" t="n">
        <v>0.1872</v>
      </c>
      <c r="E58" s="8" t="n">
        <v>6.95</v>
      </c>
      <c r="F58" s="8" t="n">
        <v>3.7</v>
      </c>
      <c r="G58" s="8" t="n">
        <v>669</v>
      </c>
    </row>
    <row r="59" customFormat="false" ht="15" hidden="false" customHeight="false" outlineLevel="0" collapsed="false">
      <c r="A59" s="8" t="s">
        <v>98</v>
      </c>
      <c r="B59" s="8" t="s">
        <v>100</v>
      </c>
      <c r="C59" s="8" t="s">
        <v>27</v>
      </c>
      <c r="D59" s="8" t="n">
        <v>0.1714</v>
      </c>
      <c r="E59" s="8" t="n">
        <v>7.07</v>
      </c>
      <c r="F59" s="8" t="n">
        <v>10.5</v>
      </c>
      <c r="G59" s="8" t="n">
        <v>687</v>
      </c>
    </row>
    <row r="60" customFormat="false" ht="15" hidden="false" customHeight="false" outlineLevel="0" collapsed="false">
      <c r="A60" s="8" t="s">
        <v>98</v>
      </c>
      <c r="B60" s="8" t="s">
        <v>101</v>
      </c>
      <c r="C60" s="8" t="s">
        <v>27</v>
      </c>
      <c r="D60" s="8" t="n">
        <v>0.0304</v>
      </c>
      <c r="E60" s="8" t="n">
        <v>6.39</v>
      </c>
      <c r="F60" s="8" t="n">
        <v>12.8</v>
      </c>
      <c r="G60" s="8" t="n">
        <v>760</v>
      </c>
    </row>
    <row r="61" customFormat="false" ht="15" hidden="false" customHeight="false" outlineLevel="0" collapsed="false">
      <c r="A61" s="8" t="s">
        <v>98</v>
      </c>
      <c r="B61" s="8" t="s">
        <v>102</v>
      </c>
      <c r="C61" s="8" t="s">
        <v>32</v>
      </c>
      <c r="D61" s="8" t="n">
        <v>0.2096</v>
      </c>
      <c r="E61" s="8" t="n">
        <v>7.13</v>
      </c>
      <c r="F61" s="8" t="n">
        <v>18.6</v>
      </c>
      <c r="G61" s="8" t="n">
        <v>480</v>
      </c>
    </row>
    <row r="62" customFormat="false" ht="15" hidden="false" customHeight="false" outlineLevel="0" collapsed="false">
      <c r="A62" s="8" t="s">
        <v>103</v>
      </c>
      <c r="B62" s="8" t="s">
        <v>104</v>
      </c>
      <c r="C62" s="8" t="s">
        <v>27</v>
      </c>
      <c r="D62" s="8" t="n">
        <v>0.0627</v>
      </c>
      <c r="E62" s="8" t="n">
        <v>7.42</v>
      </c>
      <c r="F62" s="8" t="n">
        <v>10.2</v>
      </c>
      <c r="G62" s="8" t="n">
        <v>530</v>
      </c>
    </row>
    <row r="63" customFormat="false" ht="15" hidden="false" customHeight="false" outlineLevel="0" collapsed="false">
      <c r="A63" s="8" t="s">
        <v>103</v>
      </c>
      <c r="B63" s="8" t="s">
        <v>105</v>
      </c>
      <c r="C63" s="8" t="s">
        <v>29</v>
      </c>
      <c r="D63" s="8" t="n">
        <v>0.3036</v>
      </c>
      <c r="E63" s="8" t="n">
        <v>8.29</v>
      </c>
      <c r="F63" s="8" t="n">
        <v>10.7</v>
      </c>
      <c r="G63" s="8" t="n">
        <v>283</v>
      </c>
    </row>
    <row r="64" customFormat="false" ht="15" hidden="false" customHeight="false" outlineLevel="0" collapsed="false">
      <c r="A64" s="8" t="s">
        <v>103</v>
      </c>
      <c r="B64" s="8" t="s">
        <v>106</v>
      </c>
      <c r="C64" s="8" t="s">
        <v>32</v>
      </c>
      <c r="D64" s="8" t="n">
        <v>0.2481</v>
      </c>
      <c r="E64" s="8" t="n">
        <v>7.21</v>
      </c>
      <c r="F64" s="8" t="n">
        <v>7.2</v>
      </c>
      <c r="G64" s="8" t="n">
        <v>534</v>
      </c>
    </row>
    <row r="65" customFormat="false" ht="15" hidden="false" customHeight="false" outlineLevel="0" collapsed="false">
      <c r="A65" s="8" t="s">
        <v>103</v>
      </c>
      <c r="B65" s="8" t="s">
        <v>107</v>
      </c>
      <c r="C65" s="8" t="s">
        <v>27</v>
      </c>
      <c r="D65" s="8" t="n">
        <v>0.1145</v>
      </c>
      <c r="E65" s="8" t="n">
        <v>7.75</v>
      </c>
      <c r="F65" s="8" t="n">
        <v>9.6</v>
      </c>
      <c r="G65" s="8" t="n">
        <v>687</v>
      </c>
    </row>
    <row r="66" customFormat="false" ht="15" hidden="false" customHeight="false" outlineLevel="0" collapsed="false">
      <c r="A66" s="8" t="s">
        <v>108</v>
      </c>
      <c r="B66" s="8" t="s">
        <v>109</v>
      </c>
      <c r="C66" s="8" t="s">
        <v>27</v>
      </c>
      <c r="D66" s="8" t="n">
        <v>0.1187</v>
      </c>
      <c r="E66" s="8" t="n">
        <v>6.13</v>
      </c>
      <c r="F66" s="8" t="n">
        <v>15.6</v>
      </c>
      <c r="G66" s="8" t="n">
        <v>371</v>
      </c>
    </row>
    <row r="67" customFormat="false" ht="15" hidden="false" customHeight="false" outlineLevel="0" collapsed="false">
      <c r="A67" s="8" t="s">
        <v>108</v>
      </c>
      <c r="B67" s="8" t="s">
        <v>110</v>
      </c>
      <c r="C67" s="8" t="s">
        <v>29</v>
      </c>
      <c r="D67" s="8" t="n">
        <v>0.1435</v>
      </c>
      <c r="E67" s="8" t="n">
        <v>8.18</v>
      </c>
      <c r="F67" s="8" t="n">
        <v>11.4</v>
      </c>
      <c r="G67" s="8" t="n">
        <v>460</v>
      </c>
    </row>
    <row r="68" customFormat="false" ht="15" hidden="false" customHeight="false" outlineLevel="0" collapsed="false">
      <c r="A68" s="8" t="s">
        <v>108</v>
      </c>
      <c r="B68" s="8" t="s">
        <v>111</v>
      </c>
      <c r="C68" s="8" t="s">
        <v>29</v>
      </c>
      <c r="D68" s="8" t="n">
        <v>0.1794</v>
      </c>
      <c r="E68" s="8" t="n">
        <v>5.64</v>
      </c>
      <c r="F68" s="8" t="n">
        <v>3.7</v>
      </c>
      <c r="G68" s="8" t="n">
        <v>614</v>
      </c>
    </row>
    <row r="69" customFormat="false" ht="15" hidden="false" customHeight="false" outlineLevel="0" collapsed="false">
      <c r="A69" s="8" t="s">
        <v>108</v>
      </c>
      <c r="B69" s="8" t="s">
        <v>112</v>
      </c>
      <c r="C69" s="8" t="s">
        <v>29</v>
      </c>
      <c r="D69" s="8" t="n">
        <v>0.0109</v>
      </c>
      <c r="E69" s="8" t="n">
        <v>7.1</v>
      </c>
      <c r="F69" s="8" t="n">
        <v>13.1</v>
      </c>
      <c r="G69" s="8" t="n">
        <v>630</v>
      </c>
    </row>
    <row r="70" customFormat="false" ht="15" hidden="false" customHeight="false" outlineLevel="0" collapsed="false">
      <c r="A70" s="8" t="s">
        <v>113</v>
      </c>
      <c r="B70" s="8" t="s">
        <v>114</v>
      </c>
      <c r="C70" s="8" t="s">
        <v>32</v>
      </c>
      <c r="D70" s="8" t="n">
        <v>0.2559</v>
      </c>
      <c r="E70" s="8" t="n">
        <v>7.02</v>
      </c>
      <c r="F70" s="8" t="n">
        <v>15.4</v>
      </c>
      <c r="G70" s="8" t="n">
        <v>691</v>
      </c>
    </row>
    <row r="71" customFormat="false" ht="15" hidden="false" customHeight="false" outlineLevel="0" collapsed="false">
      <c r="A71" s="8" t="s">
        <v>113</v>
      </c>
      <c r="B71" s="8" t="s">
        <v>115</v>
      </c>
      <c r="C71" s="8" t="s">
        <v>27</v>
      </c>
      <c r="D71" s="8" t="n">
        <v>0.0593</v>
      </c>
      <c r="E71" s="8" t="n">
        <v>7.47</v>
      </c>
      <c r="F71" s="8" t="n">
        <v>17.7</v>
      </c>
      <c r="G71" s="8" t="n">
        <v>823</v>
      </c>
    </row>
    <row r="72" customFormat="false" ht="15" hidden="false" customHeight="false" outlineLevel="0" collapsed="false">
      <c r="A72" s="8" t="s">
        <v>113</v>
      </c>
      <c r="B72" s="8" t="s">
        <v>116</v>
      </c>
      <c r="C72" s="8" t="s">
        <v>32</v>
      </c>
      <c r="D72" s="8" t="n">
        <v>0.3815</v>
      </c>
      <c r="E72" s="8" t="n">
        <v>6.8</v>
      </c>
      <c r="F72" s="8" t="n">
        <v>8.4</v>
      </c>
      <c r="G72" s="8" t="n">
        <v>401</v>
      </c>
    </row>
    <row r="73" customFormat="false" ht="15" hidden="false" customHeight="false" outlineLevel="0" collapsed="false">
      <c r="A73" s="8" t="s">
        <v>113</v>
      </c>
      <c r="B73" s="8" t="s">
        <v>117</v>
      </c>
      <c r="C73" s="8" t="s">
        <v>27</v>
      </c>
      <c r="D73" s="8" t="n">
        <v>0.1461</v>
      </c>
      <c r="E73" s="8" t="n">
        <v>6.81</v>
      </c>
      <c r="F73" s="8" t="n">
        <v>14.2</v>
      </c>
      <c r="G73" s="8" t="n">
        <v>583</v>
      </c>
    </row>
    <row r="74" customFormat="false" ht="15" hidden="false" customHeight="false" outlineLevel="0" collapsed="false">
      <c r="A74" s="8" t="s">
        <v>118</v>
      </c>
      <c r="B74" s="8" t="s">
        <v>119</v>
      </c>
      <c r="C74" s="8" t="s">
        <v>29</v>
      </c>
      <c r="D74" s="8" t="n">
        <v>0.2219</v>
      </c>
      <c r="E74" s="8" t="n">
        <v>7.02</v>
      </c>
      <c r="F74" s="8" t="n">
        <v>9</v>
      </c>
      <c r="G74" s="8" t="n">
        <v>774</v>
      </c>
    </row>
    <row r="75" customFormat="false" ht="15" hidden="false" customHeight="false" outlineLevel="0" collapsed="false">
      <c r="A75" s="8" t="s">
        <v>118</v>
      </c>
      <c r="B75" s="8" t="s">
        <v>120</v>
      </c>
      <c r="C75" s="8" t="s">
        <v>29</v>
      </c>
      <c r="D75" s="8" t="n">
        <v>0.1439</v>
      </c>
      <c r="E75" s="8" t="n">
        <v>6.86</v>
      </c>
      <c r="F75" s="8" t="n">
        <v>13.5</v>
      </c>
      <c r="G75" s="8" t="n">
        <v>208</v>
      </c>
    </row>
    <row r="76" customFormat="false" ht="15" hidden="false" customHeight="false" outlineLevel="0" collapsed="false">
      <c r="A76" s="8" t="s">
        <v>118</v>
      </c>
      <c r="B76" s="8" t="s">
        <v>121</v>
      </c>
      <c r="C76" s="8" t="s">
        <v>27</v>
      </c>
      <c r="D76" s="8" t="n">
        <v>0.0645</v>
      </c>
      <c r="E76" s="8" t="n">
        <v>6.6</v>
      </c>
      <c r="F76" s="8" t="n">
        <v>18</v>
      </c>
      <c r="G76" s="8" t="n">
        <v>648</v>
      </c>
    </row>
    <row r="77" customFormat="false" ht="15" hidden="false" customHeight="false" outlineLevel="0" collapsed="false">
      <c r="A77" s="8" t="s">
        <v>118</v>
      </c>
      <c r="B77" s="8" t="s">
        <v>122</v>
      </c>
      <c r="C77" s="8" t="s">
        <v>27</v>
      </c>
      <c r="D77" s="8" t="n">
        <v>0.0303</v>
      </c>
      <c r="E77" s="8" t="n">
        <v>6.99</v>
      </c>
      <c r="F77" s="8" t="n">
        <v>8.6</v>
      </c>
      <c r="G77" s="8" t="n">
        <v>796</v>
      </c>
    </row>
    <row r="78" customFormat="false" ht="15" hidden="false" customHeight="false" outlineLevel="0" collapsed="false">
      <c r="A78" s="8" t="s">
        <v>123</v>
      </c>
      <c r="B78" s="8" t="s">
        <v>124</v>
      </c>
      <c r="C78" s="8" t="s">
        <v>32</v>
      </c>
      <c r="D78" s="8" t="n">
        <v>0.1175</v>
      </c>
      <c r="E78" s="8" t="n">
        <v>7.77</v>
      </c>
      <c r="F78" s="8" t="n">
        <v>15.1</v>
      </c>
      <c r="G78" s="8" t="n">
        <v>720</v>
      </c>
    </row>
    <row r="79" customFormat="false" ht="15" hidden="false" customHeight="false" outlineLevel="0" collapsed="false">
      <c r="A79" s="8" t="s">
        <v>123</v>
      </c>
      <c r="B79" s="8" t="s">
        <v>125</v>
      </c>
      <c r="C79" s="8" t="s">
        <v>27</v>
      </c>
      <c r="D79" s="8" t="n">
        <v>0.1682</v>
      </c>
      <c r="E79" s="8" t="n">
        <v>6.74</v>
      </c>
      <c r="F79" s="8" t="n">
        <v>13.6</v>
      </c>
      <c r="G79" s="8" t="n">
        <v>591</v>
      </c>
    </row>
    <row r="80" customFormat="false" ht="15" hidden="false" customHeight="false" outlineLevel="0" collapsed="false">
      <c r="A80" s="8" t="s">
        <v>123</v>
      </c>
      <c r="B80" s="8" t="s">
        <v>126</v>
      </c>
      <c r="C80" s="8" t="s">
        <v>29</v>
      </c>
      <c r="D80" s="8" t="n">
        <v>0.1568</v>
      </c>
      <c r="E80" s="8" t="n">
        <v>6.43</v>
      </c>
      <c r="F80" s="8" t="n">
        <v>11.8</v>
      </c>
      <c r="G80" s="8" t="n">
        <v>830</v>
      </c>
    </row>
    <row r="81" customFormat="false" ht="15" hidden="false" customHeight="false" outlineLevel="0" collapsed="false">
      <c r="A81" s="8" t="s">
        <v>123</v>
      </c>
      <c r="B81" s="8" t="s">
        <v>127</v>
      </c>
      <c r="C81" s="8" t="s">
        <v>32</v>
      </c>
      <c r="D81" s="8" t="n">
        <v>0.1341</v>
      </c>
      <c r="E81" s="8" t="n">
        <v>6.8</v>
      </c>
      <c r="F81" s="8" t="n">
        <v>8.9</v>
      </c>
      <c r="G81" s="8" t="n">
        <v>759</v>
      </c>
    </row>
    <row r="82" customFormat="false" ht="15" hidden="false" customHeight="false" outlineLevel="0" collapsed="false">
      <c r="A82" s="8" t="s">
        <v>128</v>
      </c>
      <c r="B82" s="8" t="s">
        <v>129</v>
      </c>
      <c r="C82" s="8" t="s">
        <v>29</v>
      </c>
      <c r="D82" s="8" t="n">
        <v>0.2565</v>
      </c>
      <c r="E82" s="8" t="n">
        <v>5.98</v>
      </c>
      <c r="F82" s="8" t="n">
        <v>11.9</v>
      </c>
      <c r="G82" s="8" t="n">
        <v>806</v>
      </c>
    </row>
    <row r="83" customFormat="false" ht="15" hidden="false" customHeight="false" outlineLevel="0" collapsed="false">
      <c r="A83" s="8" t="s">
        <v>128</v>
      </c>
      <c r="B83" s="8" t="s">
        <v>130</v>
      </c>
      <c r="C83" s="8" t="s">
        <v>29</v>
      </c>
      <c r="D83" s="8" t="n">
        <v>0.1063</v>
      </c>
      <c r="E83" s="8" t="n">
        <v>6.74</v>
      </c>
      <c r="F83" s="8" t="n">
        <v>11.9</v>
      </c>
      <c r="G83" s="8" t="n">
        <v>612</v>
      </c>
    </row>
    <row r="84" customFormat="false" ht="15" hidden="false" customHeight="false" outlineLevel="0" collapsed="false">
      <c r="A84" s="8" t="s">
        <v>128</v>
      </c>
      <c r="B84" s="8" t="s">
        <v>131</v>
      </c>
      <c r="C84" s="8" t="s">
        <v>29</v>
      </c>
      <c r="D84" s="8" t="n">
        <v>0.1752</v>
      </c>
      <c r="E84" s="8" t="n">
        <v>7.31</v>
      </c>
      <c r="F84" s="8" t="n">
        <v>9.4</v>
      </c>
      <c r="G84" s="8" t="n">
        <v>763</v>
      </c>
    </row>
    <row r="85" customFormat="false" ht="15" hidden="false" customHeight="false" outlineLevel="0" collapsed="false">
      <c r="A85" s="8" t="s">
        <v>128</v>
      </c>
      <c r="B85" s="8" t="s">
        <v>132</v>
      </c>
      <c r="C85" s="8" t="s">
        <v>27</v>
      </c>
      <c r="D85" s="8" t="n">
        <v>0.0964</v>
      </c>
      <c r="E85" s="8" t="n">
        <v>6.55</v>
      </c>
      <c r="F85" s="8" t="n">
        <v>13.2</v>
      </c>
      <c r="G85" s="8" t="n">
        <v>491</v>
      </c>
    </row>
    <row r="86" customFormat="false" ht="15" hidden="false" customHeight="false" outlineLevel="0" collapsed="false">
      <c r="A86" s="8" t="s">
        <v>133</v>
      </c>
      <c r="B86" s="8" t="s">
        <v>134</v>
      </c>
      <c r="C86" s="8" t="s">
        <v>29</v>
      </c>
      <c r="D86" s="8" t="n">
        <v>0.2091</v>
      </c>
      <c r="E86" s="8" t="n">
        <v>6.61</v>
      </c>
      <c r="F86" s="8" t="n">
        <v>10.5</v>
      </c>
      <c r="G86" s="8" t="n">
        <v>543</v>
      </c>
    </row>
    <row r="87" customFormat="false" ht="15" hidden="false" customHeight="false" outlineLevel="0" collapsed="false">
      <c r="A87" s="8" t="s">
        <v>133</v>
      </c>
      <c r="B87" s="8" t="s">
        <v>135</v>
      </c>
      <c r="C87" s="8" t="s">
        <v>27</v>
      </c>
      <c r="D87" s="8" t="n">
        <v>0.0171</v>
      </c>
      <c r="E87" s="8" t="n">
        <v>7.28</v>
      </c>
      <c r="F87" s="8" t="n">
        <v>9</v>
      </c>
      <c r="G87" s="8" t="n">
        <v>772</v>
      </c>
    </row>
    <row r="88" customFormat="false" ht="15" hidden="false" customHeight="false" outlineLevel="0" collapsed="false">
      <c r="A88" s="8" t="s">
        <v>133</v>
      </c>
      <c r="B88" s="8" t="s">
        <v>136</v>
      </c>
      <c r="C88" s="8" t="s">
        <v>27</v>
      </c>
      <c r="D88" s="8" t="n">
        <v>0.1666</v>
      </c>
      <c r="E88" s="8" t="n">
        <v>7</v>
      </c>
      <c r="F88" s="8" t="n">
        <v>4.8</v>
      </c>
      <c r="G88" s="8" t="n">
        <v>653</v>
      </c>
    </row>
    <row r="89" customFormat="false" ht="15" hidden="false" customHeight="false" outlineLevel="0" collapsed="false">
      <c r="A89" s="8" t="s">
        <v>133</v>
      </c>
      <c r="B89" s="8" t="s">
        <v>137</v>
      </c>
      <c r="C89" s="8" t="s">
        <v>27</v>
      </c>
      <c r="D89" s="8" t="n">
        <v>0.1497</v>
      </c>
      <c r="E89" s="8" t="n">
        <v>6.17</v>
      </c>
      <c r="F89" s="8" t="n">
        <v>13.4</v>
      </c>
      <c r="G89" s="8" t="n">
        <v>600</v>
      </c>
    </row>
    <row r="90" customFormat="false" ht="15" hidden="false" customHeight="false" outlineLevel="0" collapsed="false">
      <c r="A90" s="8" t="s">
        <v>138</v>
      </c>
      <c r="B90" s="8" t="s">
        <v>139</v>
      </c>
      <c r="C90" s="8" t="s">
        <v>29</v>
      </c>
      <c r="D90" s="8" t="n">
        <v>0.1416</v>
      </c>
      <c r="E90" s="8" t="n">
        <v>7.26</v>
      </c>
      <c r="F90" s="8" t="n">
        <v>8.8</v>
      </c>
      <c r="G90" s="8" t="n">
        <v>680</v>
      </c>
    </row>
    <row r="91" customFormat="false" ht="15" hidden="false" customHeight="false" outlineLevel="0" collapsed="false">
      <c r="A91" s="8" t="s">
        <v>138</v>
      </c>
      <c r="B91" s="8" t="s">
        <v>140</v>
      </c>
      <c r="C91" s="8" t="s">
        <v>32</v>
      </c>
      <c r="D91" s="8" t="n">
        <v>0.0987</v>
      </c>
      <c r="E91" s="8" t="n">
        <v>6.22</v>
      </c>
      <c r="F91" s="8" t="n">
        <v>6.4</v>
      </c>
      <c r="G91" s="8" t="n">
        <v>355</v>
      </c>
    </row>
    <row r="92" customFormat="false" ht="15" hidden="false" customHeight="false" outlineLevel="0" collapsed="false">
      <c r="A92" s="8" t="s">
        <v>138</v>
      </c>
      <c r="B92" s="8" t="s">
        <v>141</v>
      </c>
      <c r="C92" s="8" t="s">
        <v>29</v>
      </c>
      <c r="D92" s="8" t="n">
        <v>0.1079</v>
      </c>
      <c r="E92" s="8" t="n">
        <v>6.58</v>
      </c>
      <c r="F92" s="8" t="n">
        <v>5.1</v>
      </c>
      <c r="G92" s="8" t="n">
        <v>711</v>
      </c>
    </row>
    <row r="93" customFormat="false" ht="15" hidden="false" customHeight="false" outlineLevel="0" collapsed="false">
      <c r="A93" s="8" t="s">
        <v>138</v>
      </c>
      <c r="B93" s="8" t="s">
        <v>142</v>
      </c>
      <c r="C93" s="8" t="s">
        <v>29</v>
      </c>
      <c r="D93" s="8" t="n">
        <v>0.0809</v>
      </c>
      <c r="E93" s="8" t="n">
        <v>6.77</v>
      </c>
      <c r="F93" s="8" t="n">
        <v>12.7</v>
      </c>
      <c r="G93" s="8" t="n">
        <v>882</v>
      </c>
    </row>
    <row r="94" customFormat="false" ht="15" hidden="false" customHeight="false" outlineLevel="0" collapsed="false">
      <c r="A94" s="8" t="s">
        <v>143</v>
      </c>
      <c r="B94" s="8" t="s">
        <v>144</v>
      </c>
      <c r="C94" s="8" t="s">
        <v>27</v>
      </c>
      <c r="D94" s="8" t="n">
        <v>0.039</v>
      </c>
      <c r="E94" s="8" t="n">
        <v>7.58</v>
      </c>
      <c r="F94" s="8" t="n">
        <v>14.7</v>
      </c>
      <c r="G94" s="8" t="n">
        <v>686</v>
      </c>
    </row>
    <row r="95" customFormat="false" ht="15" hidden="false" customHeight="false" outlineLevel="0" collapsed="false">
      <c r="A95" s="8" t="s">
        <v>143</v>
      </c>
      <c r="B95" s="8" t="s">
        <v>145</v>
      </c>
      <c r="C95" s="8" t="s">
        <v>32</v>
      </c>
      <c r="D95" s="8" t="n">
        <v>0.2354</v>
      </c>
      <c r="E95" s="8" t="n">
        <v>6.51</v>
      </c>
      <c r="F95" s="8" t="n">
        <v>12.2</v>
      </c>
      <c r="G95" s="8" t="n">
        <v>461</v>
      </c>
    </row>
    <row r="96" customFormat="false" ht="15" hidden="false" customHeight="false" outlineLevel="0" collapsed="false">
      <c r="A96" s="8" t="s">
        <v>143</v>
      </c>
      <c r="B96" s="8" t="s">
        <v>146</v>
      </c>
      <c r="C96" s="8" t="s">
        <v>29</v>
      </c>
      <c r="D96" s="8" t="n">
        <v>0.137</v>
      </c>
      <c r="E96" s="8" t="n">
        <v>7.02</v>
      </c>
      <c r="F96" s="8" t="n">
        <v>7.4</v>
      </c>
      <c r="G96" s="8" t="n">
        <v>635</v>
      </c>
    </row>
    <row r="97" customFormat="false" ht="15" hidden="false" customHeight="false" outlineLevel="0" collapsed="false">
      <c r="A97" s="8" t="s">
        <v>143</v>
      </c>
      <c r="B97" s="8" t="s">
        <v>147</v>
      </c>
      <c r="C97" s="8" t="s">
        <v>29</v>
      </c>
      <c r="D97" s="8" t="n">
        <v>0.1352</v>
      </c>
      <c r="E97" s="8" t="n">
        <v>7.39</v>
      </c>
      <c r="F97" s="8" t="n">
        <v>10.8</v>
      </c>
      <c r="G97" s="8" t="n">
        <v>676</v>
      </c>
    </row>
    <row r="98" customFormat="false" ht="15" hidden="false" customHeight="false" outlineLevel="0" collapsed="false">
      <c r="A98" s="8" t="s">
        <v>148</v>
      </c>
      <c r="B98" s="8" t="s">
        <v>149</v>
      </c>
      <c r="C98" s="8" t="s">
        <v>27</v>
      </c>
      <c r="D98" s="8" t="n">
        <v>0.1027</v>
      </c>
      <c r="E98" s="8" t="n">
        <v>8.35</v>
      </c>
      <c r="F98" s="8" t="n">
        <v>13.2</v>
      </c>
      <c r="G98" s="8" t="n">
        <v>548</v>
      </c>
    </row>
    <row r="99" customFormat="false" ht="15" hidden="false" customHeight="false" outlineLevel="0" collapsed="false">
      <c r="A99" s="8" t="s">
        <v>148</v>
      </c>
      <c r="B99" s="8" t="s">
        <v>150</v>
      </c>
      <c r="C99" s="8" t="s">
        <v>29</v>
      </c>
      <c r="D99" s="8" t="n">
        <v>0.0741</v>
      </c>
      <c r="E99" s="8" t="n">
        <v>7.36</v>
      </c>
      <c r="F99" s="8" t="n">
        <v>15.8</v>
      </c>
      <c r="G99" s="8" t="n">
        <v>543</v>
      </c>
    </row>
    <row r="100" customFormat="false" ht="15" hidden="false" customHeight="false" outlineLevel="0" collapsed="false">
      <c r="A100" s="8" t="s">
        <v>148</v>
      </c>
      <c r="B100" s="8" t="s">
        <v>151</v>
      </c>
      <c r="C100" s="8" t="s">
        <v>27</v>
      </c>
      <c r="D100" s="8" t="n">
        <v>0.2117</v>
      </c>
      <c r="E100" s="8" t="n">
        <v>8.07</v>
      </c>
      <c r="F100" s="8" t="n">
        <v>14.3</v>
      </c>
      <c r="G100" s="8" t="n">
        <v>754</v>
      </c>
    </row>
    <row r="101" customFormat="false" ht="15" hidden="false" customHeight="false" outlineLevel="0" collapsed="false">
      <c r="A101" s="8" t="s">
        <v>148</v>
      </c>
      <c r="B101" s="8" t="s">
        <v>152</v>
      </c>
      <c r="C101" s="8" t="s">
        <v>32</v>
      </c>
      <c r="D101" s="8" t="n">
        <v>0.2762</v>
      </c>
      <c r="E101" s="8" t="n">
        <v>7.61</v>
      </c>
      <c r="F101" s="8" t="n">
        <v>11.8</v>
      </c>
      <c r="G101" s="8" t="n">
        <v>857</v>
      </c>
    </row>
    <row r="102" customFormat="false" ht="15" hidden="false" customHeight="false" outlineLevel="0" collapsed="false">
      <c r="A102" s="8" t="s">
        <v>153</v>
      </c>
      <c r="B102" s="8" t="s">
        <v>154</v>
      </c>
      <c r="C102" s="8" t="s">
        <v>27</v>
      </c>
      <c r="D102" s="8" t="n">
        <v>0.1641</v>
      </c>
      <c r="E102" s="8" t="n">
        <v>6.86</v>
      </c>
      <c r="F102" s="8" t="n">
        <v>12.3</v>
      </c>
      <c r="G102" s="8" t="n">
        <v>564</v>
      </c>
    </row>
    <row r="103" customFormat="false" ht="15" hidden="false" customHeight="false" outlineLevel="0" collapsed="false">
      <c r="A103" s="8" t="s">
        <v>153</v>
      </c>
      <c r="B103" s="8" t="s">
        <v>155</v>
      </c>
      <c r="C103" s="8" t="s">
        <v>27</v>
      </c>
      <c r="D103" s="8" t="n">
        <v>0.1477</v>
      </c>
      <c r="E103" s="8" t="n">
        <v>7.69</v>
      </c>
      <c r="F103" s="8" t="n">
        <v>16.6</v>
      </c>
      <c r="G103" s="8" t="n">
        <v>698</v>
      </c>
    </row>
    <row r="104" customFormat="false" ht="15" hidden="false" customHeight="false" outlineLevel="0" collapsed="false">
      <c r="A104" s="8" t="s">
        <v>153</v>
      </c>
      <c r="B104" s="8" t="s">
        <v>156</v>
      </c>
      <c r="C104" s="8" t="s">
        <v>32</v>
      </c>
      <c r="D104" s="8" t="n">
        <v>0.2729</v>
      </c>
      <c r="E104" s="8" t="n">
        <v>7.56</v>
      </c>
      <c r="F104" s="8" t="n">
        <v>13</v>
      </c>
      <c r="G104" s="8" t="n">
        <v>821</v>
      </c>
    </row>
    <row r="105" customFormat="false" ht="15" hidden="false" customHeight="false" outlineLevel="0" collapsed="false">
      <c r="A105" s="8" t="s">
        <v>153</v>
      </c>
      <c r="B105" s="8" t="s">
        <v>157</v>
      </c>
      <c r="C105" s="8" t="s">
        <v>27</v>
      </c>
      <c r="D105" s="8" t="n">
        <v>0.1225</v>
      </c>
      <c r="E105" s="8" t="n">
        <v>6.67</v>
      </c>
      <c r="F105" s="8" t="n">
        <v>13.8</v>
      </c>
      <c r="G105" s="8" t="n">
        <v>704</v>
      </c>
    </row>
    <row r="106" customFormat="false" ht="15" hidden="false" customHeight="false" outlineLevel="0" collapsed="false">
      <c r="A106" s="8" t="s">
        <v>158</v>
      </c>
      <c r="B106" s="8" t="s">
        <v>159</v>
      </c>
      <c r="C106" s="8" t="s">
        <v>29</v>
      </c>
      <c r="D106" s="8" t="n">
        <v>0.1059</v>
      </c>
      <c r="E106" s="8" t="n">
        <v>5.64</v>
      </c>
      <c r="F106" s="8" t="n">
        <v>12.8</v>
      </c>
      <c r="G106" s="8" t="n">
        <v>441</v>
      </c>
    </row>
    <row r="107" customFormat="false" ht="15" hidden="false" customHeight="false" outlineLevel="0" collapsed="false">
      <c r="A107" s="8" t="s">
        <v>158</v>
      </c>
      <c r="B107" s="8" t="s">
        <v>160</v>
      </c>
      <c r="C107" s="8" t="s">
        <v>29</v>
      </c>
      <c r="D107" s="8" t="n">
        <v>0.1472</v>
      </c>
      <c r="E107" s="8" t="n">
        <v>7.98</v>
      </c>
      <c r="F107" s="8" t="n">
        <v>10.4</v>
      </c>
      <c r="G107" s="8" t="n">
        <v>915</v>
      </c>
    </row>
    <row r="108" customFormat="false" ht="15" hidden="false" customHeight="false" outlineLevel="0" collapsed="false">
      <c r="A108" s="8" t="s">
        <v>158</v>
      </c>
      <c r="B108" s="8" t="s">
        <v>161</v>
      </c>
      <c r="C108" s="8" t="s">
        <v>32</v>
      </c>
      <c r="D108" s="8" t="n">
        <v>0.2827</v>
      </c>
      <c r="E108" s="8" t="n">
        <v>8.11</v>
      </c>
      <c r="F108" s="8" t="n">
        <v>8.5</v>
      </c>
      <c r="G108" s="8" t="n">
        <v>620</v>
      </c>
    </row>
    <row r="109" customFormat="false" ht="15" hidden="false" customHeight="false" outlineLevel="0" collapsed="false">
      <c r="A109" s="8" t="s">
        <v>158</v>
      </c>
      <c r="B109" s="8" t="s">
        <v>162</v>
      </c>
      <c r="C109" s="8" t="s">
        <v>27</v>
      </c>
      <c r="D109" s="8" t="n">
        <v>0.179</v>
      </c>
      <c r="E109" s="8" t="n">
        <v>7.29</v>
      </c>
      <c r="F109" s="8" t="n">
        <v>11.2</v>
      </c>
      <c r="G109" s="8" t="n">
        <v>766</v>
      </c>
    </row>
    <row r="110" customFormat="false" ht="15" hidden="false" customHeight="false" outlineLevel="0" collapsed="false">
      <c r="A110" s="8" t="s">
        <v>163</v>
      </c>
      <c r="B110" s="8" t="s">
        <v>164</v>
      </c>
      <c r="C110" s="8" t="s">
        <v>27</v>
      </c>
      <c r="D110" s="8" t="n">
        <v>0.1176</v>
      </c>
      <c r="E110" s="8" t="n">
        <v>7.6</v>
      </c>
      <c r="F110" s="8" t="n">
        <v>12.4</v>
      </c>
      <c r="G110" s="8" t="n">
        <v>772</v>
      </c>
    </row>
    <row r="111" customFormat="false" ht="15" hidden="false" customHeight="false" outlineLevel="0" collapsed="false">
      <c r="A111" s="8" t="s">
        <v>163</v>
      </c>
      <c r="B111" s="8" t="s">
        <v>165</v>
      </c>
      <c r="C111" s="8" t="s">
        <v>27</v>
      </c>
      <c r="D111" s="8" t="n">
        <v>0.2004</v>
      </c>
      <c r="E111" s="8" t="n">
        <v>7.99</v>
      </c>
      <c r="F111" s="8" t="n">
        <v>10.5</v>
      </c>
      <c r="G111" s="8" t="n">
        <v>637</v>
      </c>
    </row>
    <row r="112" customFormat="false" ht="15" hidden="false" customHeight="false" outlineLevel="0" collapsed="false">
      <c r="A112" s="8" t="s">
        <v>163</v>
      </c>
      <c r="B112" s="8" t="s">
        <v>166</v>
      </c>
      <c r="C112" s="8" t="s">
        <v>32</v>
      </c>
      <c r="D112" s="8" t="n">
        <v>0.2025</v>
      </c>
      <c r="E112" s="8" t="n">
        <v>6.99</v>
      </c>
      <c r="F112" s="8" t="n">
        <v>13.3</v>
      </c>
      <c r="G112" s="8" t="n">
        <v>468</v>
      </c>
    </row>
    <row r="113" customFormat="false" ht="15" hidden="false" customHeight="false" outlineLevel="0" collapsed="false">
      <c r="A113" s="8" t="s">
        <v>163</v>
      </c>
      <c r="B113" s="8" t="s">
        <v>167</v>
      </c>
      <c r="C113" s="8" t="s">
        <v>27</v>
      </c>
      <c r="D113" s="8" t="n">
        <v>0.1836</v>
      </c>
      <c r="E113" s="8" t="n">
        <v>7.77</v>
      </c>
      <c r="F113" s="8" t="n">
        <v>12.4</v>
      </c>
      <c r="G113" s="8" t="n">
        <v>791</v>
      </c>
    </row>
    <row r="114" customFormat="false" ht="15" hidden="false" customHeight="false" outlineLevel="0" collapsed="false">
      <c r="A114" s="8" t="s">
        <v>168</v>
      </c>
      <c r="B114" s="8" t="s">
        <v>169</v>
      </c>
      <c r="C114" s="8" t="s">
        <v>27</v>
      </c>
      <c r="D114" s="8" t="n">
        <v>0.2194</v>
      </c>
      <c r="E114" s="8" t="n">
        <v>7.14</v>
      </c>
      <c r="F114" s="8" t="n">
        <v>5.4</v>
      </c>
      <c r="G114" s="8" t="n">
        <v>643</v>
      </c>
    </row>
    <row r="115" customFormat="false" ht="15" hidden="false" customHeight="false" outlineLevel="0" collapsed="false">
      <c r="A115" s="8" t="s">
        <v>168</v>
      </c>
      <c r="B115" s="8" t="s">
        <v>170</v>
      </c>
      <c r="C115" s="8" t="s">
        <v>32</v>
      </c>
      <c r="D115" s="8" t="n">
        <v>0.2216</v>
      </c>
      <c r="E115" s="8" t="n">
        <v>7.92</v>
      </c>
      <c r="F115" s="8" t="n">
        <v>9.2</v>
      </c>
      <c r="G115" s="8" t="n">
        <v>679</v>
      </c>
    </row>
    <row r="116" customFormat="false" ht="15" hidden="false" customHeight="false" outlineLevel="0" collapsed="false">
      <c r="A116" s="8" t="s">
        <v>168</v>
      </c>
      <c r="B116" s="8" t="s">
        <v>171</v>
      </c>
      <c r="C116" s="8" t="s">
        <v>29</v>
      </c>
      <c r="D116" s="8" t="n">
        <v>0.1082</v>
      </c>
      <c r="E116" s="8" t="n">
        <v>6.94</v>
      </c>
      <c r="F116" s="8" t="n">
        <v>9</v>
      </c>
      <c r="G116" s="8" t="n">
        <v>620</v>
      </c>
    </row>
    <row r="117" customFormat="false" ht="15" hidden="false" customHeight="false" outlineLevel="0" collapsed="false">
      <c r="A117" s="8" t="s">
        <v>168</v>
      </c>
      <c r="B117" s="8" t="s">
        <v>172</v>
      </c>
      <c r="C117" s="8" t="s">
        <v>29</v>
      </c>
      <c r="D117" s="8" t="n">
        <v>0.2591</v>
      </c>
      <c r="E117" s="8" t="n">
        <v>6.62</v>
      </c>
      <c r="F117" s="8" t="n">
        <v>18</v>
      </c>
      <c r="G117" s="8" t="n">
        <v>706</v>
      </c>
    </row>
    <row r="118" customFormat="false" ht="15" hidden="false" customHeight="false" outlineLevel="0" collapsed="false">
      <c r="A118" s="8" t="s">
        <v>173</v>
      </c>
      <c r="B118" s="8" t="s">
        <v>174</v>
      </c>
      <c r="C118" s="8" t="s">
        <v>27</v>
      </c>
      <c r="D118" s="8" t="n">
        <v>0.2704</v>
      </c>
      <c r="E118" s="8" t="n">
        <v>7.9</v>
      </c>
      <c r="F118" s="8" t="n">
        <v>3.7</v>
      </c>
      <c r="G118" s="8" t="n">
        <v>701</v>
      </c>
    </row>
    <row r="119" customFormat="false" ht="15" hidden="false" customHeight="false" outlineLevel="0" collapsed="false">
      <c r="A119" s="8" t="s">
        <v>173</v>
      </c>
      <c r="B119" s="8" t="s">
        <v>175</v>
      </c>
      <c r="C119" s="8" t="s">
        <v>32</v>
      </c>
      <c r="D119" s="8" t="n">
        <v>0.13</v>
      </c>
      <c r="E119" s="8" t="n">
        <v>6.23</v>
      </c>
      <c r="F119" s="8" t="n">
        <v>11.7</v>
      </c>
      <c r="G119" s="8" t="n">
        <v>485</v>
      </c>
    </row>
    <row r="120" customFormat="false" ht="15" hidden="false" customHeight="false" outlineLevel="0" collapsed="false">
      <c r="A120" s="8" t="s">
        <v>173</v>
      </c>
      <c r="B120" s="8" t="s">
        <v>176</v>
      </c>
      <c r="C120" s="8" t="s">
        <v>32</v>
      </c>
      <c r="D120" s="8" t="n">
        <v>0.0992</v>
      </c>
      <c r="E120" s="8" t="n">
        <v>7.74</v>
      </c>
      <c r="F120" s="8" t="n">
        <v>5.6</v>
      </c>
      <c r="G120" s="8" t="n">
        <v>626</v>
      </c>
    </row>
    <row r="121" customFormat="false" ht="15" hidden="false" customHeight="false" outlineLevel="0" collapsed="false">
      <c r="A121" s="8" t="s">
        <v>173</v>
      </c>
      <c r="B121" s="8" t="s">
        <v>177</v>
      </c>
      <c r="C121" s="8" t="s">
        <v>29</v>
      </c>
      <c r="D121" s="8" t="n">
        <v>0.2474</v>
      </c>
      <c r="E121" s="8" t="n">
        <v>7.55</v>
      </c>
      <c r="F121" s="8" t="n">
        <v>16</v>
      </c>
      <c r="G121" s="8" t="n">
        <v>542</v>
      </c>
    </row>
    <row r="122" customFormat="false" ht="15" hidden="false" customHeight="false" outlineLevel="0" collapsed="false">
      <c r="A122" s="8" t="s">
        <v>178</v>
      </c>
      <c r="B122" s="8" t="s">
        <v>179</v>
      </c>
      <c r="C122" s="8" t="s">
        <v>27</v>
      </c>
      <c r="D122" s="8" t="n">
        <v>0.0912</v>
      </c>
      <c r="E122" s="8" t="n">
        <v>6.82</v>
      </c>
      <c r="F122" s="8" t="n">
        <v>12.7</v>
      </c>
      <c r="G122" s="8" t="n">
        <v>402</v>
      </c>
    </row>
    <row r="123" customFormat="false" ht="15" hidden="false" customHeight="false" outlineLevel="0" collapsed="false">
      <c r="A123" s="8" t="s">
        <v>178</v>
      </c>
      <c r="B123" s="8" t="s">
        <v>180</v>
      </c>
      <c r="C123" s="8" t="s">
        <v>29</v>
      </c>
      <c r="D123" s="8" t="n">
        <v>0.1428</v>
      </c>
      <c r="E123" s="8" t="n">
        <v>6.93</v>
      </c>
      <c r="F123" s="8" t="n">
        <v>10.6</v>
      </c>
      <c r="G123" s="8" t="n">
        <v>734</v>
      </c>
    </row>
    <row r="124" customFormat="false" ht="15" hidden="false" customHeight="false" outlineLevel="0" collapsed="false">
      <c r="A124" s="8" t="s">
        <v>178</v>
      </c>
      <c r="B124" s="8" t="s">
        <v>181</v>
      </c>
      <c r="C124" s="8" t="s">
        <v>27</v>
      </c>
      <c r="D124" s="8" t="n">
        <v>0.2456</v>
      </c>
      <c r="E124" s="8" t="n">
        <v>7.29</v>
      </c>
      <c r="F124" s="8" t="n">
        <v>9.8</v>
      </c>
      <c r="G124" s="8" t="n">
        <v>735</v>
      </c>
    </row>
    <row r="125" customFormat="false" ht="15" hidden="false" customHeight="false" outlineLevel="0" collapsed="false">
      <c r="A125" s="8" t="s">
        <v>178</v>
      </c>
      <c r="B125" s="8" t="s">
        <v>182</v>
      </c>
      <c r="C125" s="8" t="s">
        <v>29</v>
      </c>
      <c r="D125" s="8" t="n">
        <v>0.2062</v>
      </c>
      <c r="E125" s="8" t="n">
        <v>7.91</v>
      </c>
      <c r="F125" s="8" t="n">
        <v>9.1</v>
      </c>
      <c r="G125" s="8" t="n">
        <v>511</v>
      </c>
    </row>
    <row r="126" customFormat="false" ht="15" hidden="false" customHeight="false" outlineLevel="0" collapsed="false">
      <c r="A126" s="8" t="s">
        <v>183</v>
      </c>
      <c r="B126" s="8" t="s">
        <v>184</v>
      </c>
      <c r="C126" s="8" t="s">
        <v>29</v>
      </c>
      <c r="D126" s="8" t="n">
        <v>0.2673</v>
      </c>
      <c r="E126" s="8" t="n">
        <v>6.69</v>
      </c>
      <c r="F126" s="8" t="n">
        <v>14.3</v>
      </c>
      <c r="G126" s="8" t="n">
        <v>867</v>
      </c>
    </row>
    <row r="127" customFormat="false" ht="15" hidden="false" customHeight="false" outlineLevel="0" collapsed="false">
      <c r="A127" s="8" t="s">
        <v>183</v>
      </c>
      <c r="B127" s="8" t="s">
        <v>185</v>
      </c>
      <c r="C127" s="8" t="s">
        <v>29</v>
      </c>
      <c r="D127" s="8" t="n">
        <v>0.1131</v>
      </c>
      <c r="E127" s="8" t="n">
        <v>6.93</v>
      </c>
      <c r="F127" s="8" t="n">
        <v>3.8</v>
      </c>
      <c r="G127" s="8" t="n">
        <v>667</v>
      </c>
    </row>
    <row r="128" customFormat="false" ht="15" hidden="false" customHeight="false" outlineLevel="0" collapsed="false">
      <c r="A128" s="8" t="s">
        <v>183</v>
      </c>
      <c r="B128" s="8" t="s">
        <v>186</v>
      </c>
      <c r="C128" s="8" t="s">
        <v>27</v>
      </c>
      <c r="D128" s="8" t="n">
        <v>0.2153</v>
      </c>
      <c r="E128" s="8" t="n">
        <v>6.57</v>
      </c>
      <c r="F128" s="8" t="n">
        <v>10.3</v>
      </c>
      <c r="G128" s="8" t="n">
        <v>257</v>
      </c>
    </row>
    <row r="129" customFormat="false" ht="15" hidden="false" customHeight="false" outlineLevel="0" collapsed="false">
      <c r="A129" s="8" t="s">
        <v>183</v>
      </c>
      <c r="B129" s="8" t="s">
        <v>187</v>
      </c>
      <c r="C129" s="8" t="s">
        <v>29</v>
      </c>
      <c r="D129" s="8" t="n">
        <v>0.1212</v>
      </c>
      <c r="E129" s="8" t="n">
        <v>6.79</v>
      </c>
      <c r="F129" s="8" t="n">
        <v>15.7</v>
      </c>
      <c r="G129" s="8" t="n">
        <v>789</v>
      </c>
    </row>
    <row r="130" customFormat="false" ht="15" hidden="false" customHeight="false" outlineLevel="0" collapsed="false">
      <c r="A130" s="8" t="s">
        <v>188</v>
      </c>
      <c r="B130" s="8" t="s">
        <v>189</v>
      </c>
      <c r="C130" s="8" t="s">
        <v>27</v>
      </c>
      <c r="D130" s="8" t="n">
        <v>0.1439</v>
      </c>
      <c r="E130" s="8" t="n">
        <v>7.11</v>
      </c>
      <c r="F130" s="8" t="n">
        <v>12.6</v>
      </c>
      <c r="G130" s="8" t="n">
        <v>379</v>
      </c>
    </row>
    <row r="131" customFormat="false" ht="15" hidden="false" customHeight="false" outlineLevel="0" collapsed="false">
      <c r="A131" s="8" t="s">
        <v>188</v>
      </c>
      <c r="B131" s="8" t="s">
        <v>190</v>
      </c>
      <c r="C131" s="8" t="s">
        <v>29</v>
      </c>
      <c r="D131" s="8" t="n">
        <v>0.1701</v>
      </c>
      <c r="E131" s="8" t="n">
        <v>6.86</v>
      </c>
      <c r="F131" s="8" t="n">
        <v>13.2</v>
      </c>
      <c r="G131" s="8" t="n">
        <v>986</v>
      </c>
    </row>
    <row r="132" customFormat="false" ht="15" hidden="false" customHeight="false" outlineLevel="0" collapsed="false">
      <c r="A132" s="8" t="s">
        <v>188</v>
      </c>
      <c r="B132" s="8" t="s">
        <v>191</v>
      </c>
      <c r="C132" s="8" t="s">
        <v>27</v>
      </c>
      <c r="D132" s="8" t="n">
        <v>0.1684</v>
      </c>
      <c r="E132" s="8" t="n">
        <v>7.23</v>
      </c>
      <c r="F132" s="8" t="n">
        <v>17.2</v>
      </c>
      <c r="G132" s="8" t="n">
        <v>506</v>
      </c>
    </row>
    <row r="133" customFormat="false" ht="15" hidden="false" customHeight="false" outlineLevel="0" collapsed="false">
      <c r="A133" s="8" t="s">
        <v>188</v>
      </c>
      <c r="B133" s="8" t="s">
        <v>192</v>
      </c>
      <c r="C133" s="8" t="s">
        <v>29</v>
      </c>
      <c r="D133" s="8" t="n">
        <v>0.1864</v>
      </c>
      <c r="E133" s="8" t="n">
        <v>8.01</v>
      </c>
      <c r="F133" s="8" t="n">
        <v>10.4</v>
      </c>
      <c r="G133" s="8" t="n">
        <v>564</v>
      </c>
    </row>
    <row r="134" customFormat="false" ht="15" hidden="false" customHeight="false" outlineLevel="0" collapsed="false">
      <c r="A134" s="8" t="s">
        <v>193</v>
      </c>
      <c r="B134" s="8" t="s">
        <v>194</v>
      </c>
      <c r="C134" s="8" t="s">
        <v>29</v>
      </c>
      <c r="D134" s="8" t="n">
        <v>0.2599</v>
      </c>
      <c r="E134" s="8" t="n">
        <v>7.52</v>
      </c>
      <c r="F134" s="8" t="n">
        <v>9.5</v>
      </c>
      <c r="G134" s="8" t="n">
        <v>719</v>
      </c>
    </row>
    <row r="135" customFormat="false" ht="15" hidden="false" customHeight="false" outlineLevel="0" collapsed="false">
      <c r="A135" s="8" t="s">
        <v>193</v>
      </c>
      <c r="B135" s="8" t="s">
        <v>195</v>
      </c>
      <c r="C135" s="8" t="s">
        <v>27</v>
      </c>
      <c r="D135" s="8" t="n">
        <v>0.1906</v>
      </c>
      <c r="E135" s="8" t="n">
        <v>7.17</v>
      </c>
      <c r="F135" s="8" t="n">
        <v>7.8</v>
      </c>
      <c r="G135" s="8" t="n">
        <v>443</v>
      </c>
    </row>
    <row r="136" customFormat="false" ht="15" hidden="false" customHeight="false" outlineLevel="0" collapsed="false">
      <c r="A136" s="8" t="s">
        <v>193</v>
      </c>
      <c r="B136" s="8" t="s">
        <v>196</v>
      </c>
      <c r="C136" s="8" t="s">
        <v>32</v>
      </c>
      <c r="D136" s="8" t="n">
        <v>0.2411</v>
      </c>
      <c r="E136" s="8" t="n">
        <v>6.71</v>
      </c>
      <c r="F136" s="8" t="n">
        <v>6.2</v>
      </c>
      <c r="G136" s="8" t="n">
        <v>674</v>
      </c>
    </row>
    <row r="137" customFormat="false" ht="15" hidden="false" customHeight="false" outlineLevel="0" collapsed="false">
      <c r="A137" s="8" t="s">
        <v>193</v>
      </c>
      <c r="B137" s="8" t="s">
        <v>197</v>
      </c>
      <c r="C137" s="8" t="s">
        <v>27</v>
      </c>
      <c r="D137" s="8" t="n">
        <v>0.1023</v>
      </c>
      <c r="E137" s="8" t="n">
        <v>7.71</v>
      </c>
      <c r="F137" s="8" t="n">
        <v>11.7</v>
      </c>
      <c r="G137" s="8" t="n">
        <v>514</v>
      </c>
    </row>
    <row r="138" customFormat="false" ht="15" hidden="false" customHeight="false" outlineLevel="0" collapsed="false">
      <c r="A138" s="8" t="s">
        <v>198</v>
      </c>
      <c r="B138" s="8" t="s">
        <v>199</v>
      </c>
      <c r="C138" s="8" t="s">
        <v>27</v>
      </c>
      <c r="D138" s="8" t="n">
        <v>0.0903</v>
      </c>
      <c r="E138" s="8" t="n">
        <v>6.68</v>
      </c>
      <c r="F138" s="8" t="n">
        <v>10.5</v>
      </c>
      <c r="G138" s="8" t="n">
        <v>748</v>
      </c>
    </row>
    <row r="139" customFormat="false" ht="15" hidden="false" customHeight="false" outlineLevel="0" collapsed="false">
      <c r="A139" s="8" t="s">
        <v>198</v>
      </c>
      <c r="B139" s="8" t="s">
        <v>200</v>
      </c>
      <c r="C139" s="8" t="s">
        <v>27</v>
      </c>
      <c r="D139" s="8" t="n">
        <v>0.1257</v>
      </c>
      <c r="E139" s="8" t="n">
        <v>7.45</v>
      </c>
      <c r="F139" s="8" t="n">
        <v>11.6</v>
      </c>
      <c r="G139" s="8" t="n">
        <v>813</v>
      </c>
    </row>
    <row r="140" customFormat="false" ht="15" hidden="false" customHeight="false" outlineLevel="0" collapsed="false">
      <c r="A140" s="8" t="s">
        <v>198</v>
      </c>
      <c r="B140" s="8" t="s">
        <v>201</v>
      </c>
      <c r="C140" s="8" t="s">
        <v>27</v>
      </c>
      <c r="D140" s="8" t="n">
        <v>0.1547</v>
      </c>
      <c r="E140" s="8" t="n">
        <v>7.26</v>
      </c>
      <c r="F140" s="8" t="n">
        <v>4.8</v>
      </c>
      <c r="G140" s="8" t="n">
        <v>620</v>
      </c>
    </row>
    <row r="141" customFormat="false" ht="15" hidden="false" customHeight="false" outlineLevel="0" collapsed="false">
      <c r="A141" s="8" t="s">
        <v>198</v>
      </c>
      <c r="B141" s="8" t="s">
        <v>202</v>
      </c>
      <c r="C141" s="8" t="s">
        <v>29</v>
      </c>
      <c r="D141" s="8" t="n">
        <v>0.1475</v>
      </c>
      <c r="E141" s="8" t="n">
        <v>7.44</v>
      </c>
      <c r="F141" s="8" t="n">
        <v>12.5</v>
      </c>
      <c r="G141" s="8" t="n">
        <v>658</v>
      </c>
    </row>
    <row r="142" customFormat="false" ht="15" hidden="false" customHeight="false" outlineLevel="0" collapsed="false">
      <c r="A142" s="8" t="s">
        <v>203</v>
      </c>
      <c r="B142" s="8" t="s">
        <v>204</v>
      </c>
      <c r="C142" s="8" t="s">
        <v>27</v>
      </c>
      <c r="D142" s="8" t="n">
        <v>0.1907</v>
      </c>
      <c r="E142" s="8" t="n">
        <v>7.48</v>
      </c>
      <c r="F142" s="8" t="n">
        <v>9</v>
      </c>
      <c r="G142" s="8" t="n">
        <v>860</v>
      </c>
    </row>
    <row r="143" customFormat="false" ht="15" hidden="false" customHeight="false" outlineLevel="0" collapsed="false">
      <c r="A143" s="8" t="s">
        <v>203</v>
      </c>
      <c r="B143" s="8" t="s">
        <v>205</v>
      </c>
      <c r="C143" s="8" t="s">
        <v>32</v>
      </c>
      <c r="D143" s="8" t="n">
        <v>0.2631</v>
      </c>
      <c r="E143" s="8" t="n">
        <v>7.13</v>
      </c>
      <c r="F143" s="8" t="n">
        <v>10.7</v>
      </c>
      <c r="G143" s="8" t="n">
        <v>465</v>
      </c>
    </row>
    <row r="144" customFormat="false" ht="15" hidden="false" customHeight="false" outlineLevel="0" collapsed="false">
      <c r="A144" s="8" t="s">
        <v>203</v>
      </c>
      <c r="B144" s="8" t="s">
        <v>206</v>
      </c>
      <c r="C144" s="8" t="s">
        <v>27</v>
      </c>
      <c r="D144" s="8" t="n">
        <v>0.0268</v>
      </c>
      <c r="E144" s="8" t="n">
        <v>7.2</v>
      </c>
      <c r="F144" s="8" t="n">
        <v>3.8</v>
      </c>
      <c r="G144" s="8" t="n">
        <v>611</v>
      </c>
    </row>
    <row r="145" customFormat="false" ht="15" hidden="false" customHeight="false" outlineLevel="0" collapsed="false">
      <c r="A145" s="8" t="s">
        <v>203</v>
      </c>
      <c r="B145" s="8" t="s">
        <v>207</v>
      </c>
      <c r="C145" s="8" t="s">
        <v>27</v>
      </c>
      <c r="D145" s="8" t="n">
        <v>0.1631</v>
      </c>
      <c r="E145" s="8" t="n">
        <v>7.26</v>
      </c>
      <c r="F145" s="8" t="n">
        <v>11.7</v>
      </c>
      <c r="G145" s="8" t="n">
        <v>618</v>
      </c>
    </row>
    <row r="146" customFormat="false" ht="15" hidden="false" customHeight="false" outlineLevel="0" collapsed="false">
      <c r="A146" s="8" t="s">
        <v>208</v>
      </c>
      <c r="B146" s="8" t="s">
        <v>209</v>
      </c>
      <c r="C146" s="8" t="s">
        <v>27</v>
      </c>
      <c r="D146" s="8" t="n">
        <v>0.1094</v>
      </c>
      <c r="E146" s="8" t="n">
        <v>7.78</v>
      </c>
      <c r="F146" s="8" t="n">
        <v>14.7</v>
      </c>
      <c r="G146" s="8" t="n">
        <v>406</v>
      </c>
    </row>
    <row r="147" customFormat="false" ht="15" hidden="false" customHeight="false" outlineLevel="0" collapsed="false">
      <c r="A147" s="8" t="s">
        <v>208</v>
      </c>
      <c r="B147" s="8" t="s">
        <v>210</v>
      </c>
      <c r="C147" s="8" t="s">
        <v>32</v>
      </c>
      <c r="D147" s="8" t="n">
        <v>0.2178</v>
      </c>
      <c r="E147" s="8" t="n">
        <v>6.79</v>
      </c>
      <c r="F147" s="8" t="n">
        <v>11.5</v>
      </c>
      <c r="G147" s="8" t="n">
        <v>899</v>
      </c>
    </row>
    <row r="148" customFormat="false" ht="15" hidden="false" customHeight="false" outlineLevel="0" collapsed="false">
      <c r="A148" s="8" t="s">
        <v>208</v>
      </c>
      <c r="B148" s="8" t="s">
        <v>211</v>
      </c>
      <c r="C148" s="8" t="s">
        <v>29</v>
      </c>
      <c r="D148" s="8" t="n">
        <v>0.307</v>
      </c>
      <c r="E148" s="8" t="n">
        <v>8.2</v>
      </c>
      <c r="F148" s="8" t="n">
        <v>13.6</v>
      </c>
      <c r="G148" s="8" t="n">
        <v>624</v>
      </c>
    </row>
    <row r="149" customFormat="false" ht="15" hidden="false" customHeight="false" outlineLevel="0" collapsed="false">
      <c r="A149" s="8" t="s">
        <v>208</v>
      </c>
      <c r="B149" s="8" t="s">
        <v>212</v>
      </c>
      <c r="C149" s="8" t="s">
        <v>32</v>
      </c>
      <c r="D149" s="8" t="n">
        <v>0.1529</v>
      </c>
      <c r="E149" s="8" t="n">
        <v>7.17</v>
      </c>
      <c r="F149" s="8" t="n">
        <v>3.8</v>
      </c>
      <c r="G149" s="8" t="n">
        <v>705</v>
      </c>
    </row>
    <row r="150" customFormat="false" ht="15" hidden="false" customHeight="false" outlineLevel="0" collapsed="false">
      <c r="A150" s="8" t="s">
        <v>213</v>
      </c>
      <c r="B150" s="8" t="s">
        <v>214</v>
      </c>
      <c r="C150" s="8" t="s">
        <v>32</v>
      </c>
      <c r="D150" s="8" t="n">
        <v>0.2991</v>
      </c>
      <c r="E150" s="8" t="n">
        <v>7.73</v>
      </c>
      <c r="F150" s="8" t="n">
        <v>13</v>
      </c>
      <c r="G150" s="8" t="n">
        <v>709</v>
      </c>
    </row>
    <row r="151" customFormat="false" ht="15" hidden="false" customHeight="false" outlineLevel="0" collapsed="false">
      <c r="A151" s="8" t="s">
        <v>213</v>
      </c>
      <c r="B151" s="8" t="s">
        <v>215</v>
      </c>
      <c r="C151" s="8" t="s">
        <v>29</v>
      </c>
      <c r="D151" s="8" t="n">
        <v>0.1318</v>
      </c>
      <c r="E151" s="8" t="n">
        <v>6.56</v>
      </c>
      <c r="F151" s="8" t="n">
        <v>3.3</v>
      </c>
      <c r="G151" s="8" t="n">
        <v>747</v>
      </c>
    </row>
    <row r="152" customFormat="false" ht="15" hidden="false" customHeight="false" outlineLevel="0" collapsed="false">
      <c r="A152" s="8" t="s">
        <v>213</v>
      </c>
      <c r="B152" s="8" t="s">
        <v>216</v>
      </c>
      <c r="C152" s="8" t="s">
        <v>32</v>
      </c>
      <c r="D152" s="8" t="n">
        <v>0.4058</v>
      </c>
      <c r="E152" s="8" t="n">
        <v>7.1</v>
      </c>
      <c r="F152" s="8" t="n">
        <v>10.2</v>
      </c>
      <c r="G152" s="8" t="n">
        <v>618</v>
      </c>
    </row>
    <row r="153" customFormat="false" ht="15" hidden="false" customHeight="false" outlineLevel="0" collapsed="false">
      <c r="A153" s="8" t="s">
        <v>213</v>
      </c>
      <c r="B153" s="8" t="s">
        <v>217</v>
      </c>
      <c r="C153" s="8" t="s">
        <v>27</v>
      </c>
      <c r="D153" s="8" t="n">
        <v>0.1103</v>
      </c>
      <c r="E153" s="8" t="n">
        <v>7.02</v>
      </c>
      <c r="F153" s="8" t="n">
        <v>9.5</v>
      </c>
      <c r="G153" s="8" t="n">
        <v>872</v>
      </c>
    </row>
    <row r="154" customFormat="false" ht="15" hidden="false" customHeight="false" outlineLevel="0" collapsed="false">
      <c r="A154" s="8" t="s">
        <v>218</v>
      </c>
      <c r="B154" s="8" t="s">
        <v>219</v>
      </c>
      <c r="C154" s="8" t="s">
        <v>27</v>
      </c>
      <c r="D154" s="8" t="n">
        <v>0.2196</v>
      </c>
      <c r="E154" s="8" t="n">
        <v>7.89</v>
      </c>
      <c r="F154" s="8" t="n">
        <v>14.5</v>
      </c>
      <c r="G154" s="8" t="n">
        <v>703</v>
      </c>
    </row>
    <row r="155" customFormat="false" ht="15" hidden="false" customHeight="false" outlineLevel="0" collapsed="false">
      <c r="A155" s="8" t="s">
        <v>218</v>
      </c>
      <c r="B155" s="8" t="s">
        <v>220</v>
      </c>
      <c r="C155" s="8" t="s">
        <v>29</v>
      </c>
      <c r="D155" s="8" t="n">
        <v>0.2003</v>
      </c>
      <c r="E155" s="8" t="n">
        <v>6.79</v>
      </c>
      <c r="F155" s="8" t="n">
        <v>4.5</v>
      </c>
      <c r="G155" s="8" t="n">
        <v>729</v>
      </c>
    </row>
    <row r="156" customFormat="false" ht="15" hidden="false" customHeight="false" outlineLevel="0" collapsed="false">
      <c r="A156" s="8" t="s">
        <v>218</v>
      </c>
      <c r="B156" s="8" t="s">
        <v>221</v>
      </c>
      <c r="C156" s="8" t="s">
        <v>27</v>
      </c>
      <c r="D156" s="8" t="n">
        <v>0.1978</v>
      </c>
      <c r="E156" s="8" t="n">
        <v>6.36</v>
      </c>
      <c r="F156" s="8" t="n">
        <v>7</v>
      </c>
      <c r="G156" s="8" t="n">
        <v>733</v>
      </c>
    </row>
    <row r="157" customFormat="false" ht="15" hidden="false" customHeight="false" outlineLevel="0" collapsed="false">
      <c r="A157" s="8" t="s">
        <v>218</v>
      </c>
      <c r="B157" s="8" t="s">
        <v>222</v>
      </c>
      <c r="C157" s="8" t="s">
        <v>29</v>
      </c>
      <c r="D157" s="8" t="n">
        <v>0.2968</v>
      </c>
      <c r="E157" s="8" t="n">
        <v>6.9</v>
      </c>
      <c r="F157" s="8" t="n">
        <v>8.6</v>
      </c>
      <c r="G157" s="8" t="n">
        <v>628</v>
      </c>
    </row>
    <row r="158" customFormat="false" ht="15" hidden="false" customHeight="false" outlineLevel="0" collapsed="false">
      <c r="A158" s="8" t="s">
        <v>223</v>
      </c>
      <c r="B158" s="8" t="s">
        <v>224</v>
      </c>
      <c r="C158" s="8" t="s">
        <v>32</v>
      </c>
      <c r="D158" s="8" t="n">
        <v>0.161</v>
      </c>
      <c r="E158" s="8" t="n">
        <v>7.26</v>
      </c>
      <c r="F158" s="8" t="n">
        <v>15.1</v>
      </c>
      <c r="G158" s="8" t="n">
        <v>741</v>
      </c>
    </row>
    <row r="159" customFormat="false" ht="15" hidden="false" customHeight="false" outlineLevel="0" collapsed="false">
      <c r="A159" s="8" t="s">
        <v>223</v>
      </c>
      <c r="B159" s="8" t="s">
        <v>225</v>
      </c>
      <c r="C159" s="8" t="s">
        <v>29</v>
      </c>
      <c r="D159" s="8" t="n">
        <v>0.063</v>
      </c>
      <c r="E159" s="8" t="n">
        <v>7.64</v>
      </c>
      <c r="F159" s="8" t="n">
        <v>10</v>
      </c>
      <c r="G159" s="8" t="n">
        <v>641</v>
      </c>
    </row>
    <row r="160" customFormat="false" ht="15" hidden="false" customHeight="false" outlineLevel="0" collapsed="false">
      <c r="A160" s="8" t="s">
        <v>223</v>
      </c>
      <c r="B160" s="8" t="s">
        <v>226</v>
      </c>
      <c r="C160" s="8" t="s">
        <v>29</v>
      </c>
      <c r="D160" s="8" t="n">
        <v>0.1553</v>
      </c>
      <c r="E160" s="8" t="n">
        <v>7.4</v>
      </c>
      <c r="F160" s="8" t="n">
        <v>8.2</v>
      </c>
      <c r="G160" s="8" t="n">
        <v>353</v>
      </c>
    </row>
    <row r="161" customFormat="false" ht="15" hidden="false" customHeight="false" outlineLevel="0" collapsed="false">
      <c r="A161" s="8" t="s">
        <v>223</v>
      </c>
      <c r="B161" s="8" t="s">
        <v>227</v>
      </c>
      <c r="C161" s="8" t="s">
        <v>32</v>
      </c>
      <c r="D161" s="8" t="n">
        <v>0.3406</v>
      </c>
      <c r="E161" s="8" t="n">
        <v>6.84</v>
      </c>
      <c r="F161" s="8" t="n">
        <v>7.6</v>
      </c>
      <c r="G161" s="8" t="n">
        <v>655</v>
      </c>
    </row>
    <row r="162" customFormat="false" ht="15" hidden="false" customHeight="false" outlineLevel="0" collapsed="false">
      <c r="A162" s="8" t="s">
        <v>228</v>
      </c>
      <c r="B162" s="8" t="s">
        <v>229</v>
      </c>
      <c r="C162" s="8" t="s">
        <v>29</v>
      </c>
      <c r="D162" s="8" t="n">
        <v>0.227</v>
      </c>
      <c r="E162" s="8" t="n">
        <v>7.37</v>
      </c>
      <c r="F162" s="8" t="n">
        <v>16</v>
      </c>
      <c r="G162" s="8" t="n">
        <v>447</v>
      </c>
    </row>
    <row r="163" customFormat="false" ht="15" hidden="false" customHeight="false" outlineLevel="0" collapsed="false">
      <c r="A163" s="8" t="s">
        <v>228</v>
      </c>
      <c r="B163" s="8" t="s">
        <v>230</v>
      </c>
      <c r="C163" s="8" t="s">
        <v>27</v>
      </c>
      <c r="D163" s="8" t="n">
        <v>0.1881</v>
      </c>
      <c r="E163" s="8" t="n">
        <v>7.22</v>
      </c>
      <c r="F163" s="8" t="n">
        <v>16.5</v>
      </c>
      <c r="G163" s="8" t="n">
        <v>812</v>
      </c>
    </row>
    <row r="164" customFormat="false" ht="15" hidden="false" customHeight="false" outlineLevel="0" collapsed="false">
      <c r="A164" s="8" t="s">
        <v>228</v>
      </c>
      <c r="B164" s="8" t="s">
        <v>231</v>
      </c>
      <c r="C164" s="8" t="s">
        <v>29</v>
      </c>
      <c r="D164" s="8" t="n">
        <v>0.2499</v>
      </c>
      <c r="E164" s="8" t="n">
        <v>6.87</v>
      </c>
      <c r="F164" s="8" t="n">
        <v>16.8</v>
      </c>
      <c r="G164" s="8" t="n">
        <v>646</v>
      </c>
    </row>
    <row r="165" customFormat="false" ht="15" hidden="false" customHeight="false" outlineLevel="0" collapsed="false">
      <c r="A165" s="8" t="s">
        <v>228</v>
      </c>
      <c r="B165" s="8" t="s">
        <v>232</v>
      </c>
      <c r="C165" s="8" t="s">
        <v>27</v>
      </c>
      <c r="D165" s="8" t="n">
        <v>0.1839</v>
      </c>
      <c r="E165" s="8" t="n">
        <v>6.9</v>
      </c>
      <c r="F165" s="8" t="n">
        <v>9</v>
      </c>
      <c r="G165" s="8" t="n">
        <v>813</v>
      </c>
    </row>
    <row r="166" customFormat="false" ht="15" hidden="false" customHeight="false" outlineLevel="0" collapsed="false">
      <c r="A166" s="8" t="s">
        <v>233</v>
      </c>
      <c r="B166" s="8" t="s">
        <v>234</v>
      </c>
      <c r="C166" s="8" t="s">
        <v>27</v>
      </c>
      <c r="D166" s="8" t="n">
        <v>0.2748</v>
      </c>
      <c r="E166" s="8" t="n">
        <v>6.69</v>
      </c>
      <c r="F166" s="8" t="n">
        <v>15.1</v>
      </c>
      <c r="G166" s="8" t="n">
        <v>736</v>
      </c>
    </row>
    <row r="167" customFormat="false" ht="15" hidden="false" customHeight="false" outlineLevel="0" collapsed="false">
      <c r="A167" s="8" t="s">
        <v>233</v>
      </c>
      <c r="B167" s="8" t="s">
        <v>235</v>
      </c>
      <c r="C167" s="8" t="s">
        <v>32</v>
      </c>
      <c r="D167" s="8" t="n">
        <v>0.2658</v>
      </c>
      <c r="E167" s="8" t="n">
        <v>7.83</v>
      </c>
      <c r="F167" s="8" t="n">
        <v>16</v>
      </c>
      <c r="G167" s="8" t="n">
        <v>677</v>
      </c>
    </row>
    <row r="168" customFormat="false" ht="15" hidden="false" customHeight="false" outlineLevel="0" collapsed="false">
      <c r="A168" s="8" t="s">
        <v>233</v>
      </c>
      <c r="B168" s="8" t="s">
        <v>236</v>
      </c>
      <c r="C168" s="8" t="s">
        <v>27</v>
      </c>
      <c r="D168" s="8" t="n">
        <v>0.2151</v>
      </c>
      <c r="E168" s="8" t="n">
        <v>6.95</v>
      </c>
      <c r="F168" s="8" t="n">
        <v>12.9</v>
      </c>
      <c r="G168" s="8" t="n">
        <v>722</v>
      </c>
    </row>
    <row r="169" customFormat="false" ht="15" hidden="false" customHeight="false" outlineLevel="0" collapsed="false">
      <c r="A169" s="8" t="s">
        <v>233</v>
      </c>
      <c r="B169" s="8" t="s">
        <v>237</v>
      </c>
      <c r="C169" s="8" t="s">
        <v>32</v>
      </c>
      <c r="D169" s="8" t="n">
        <v>0.199</v>
      </c>
      <c r="E169" s="8" t="n">
        <v>6.53</v>
      </c>
      <c r="F169" s="8" t="n">
        <v>12.9</v>
      </c>
      <c r="G169" s="8" t="n">
        <v>697</v>
      </c>
    </row>
    <row r="170" customFormat="false" ht="15" hidden="false" customHeight="false" outlineLevel="0" collapsed="false">
      <c r="A170" s="8" t="s">
        <v>238</v>
      </c>
      <c r="B170" s="8" t="s">
        <v>239</v>
      </c>
      <c r="C170" s="8" t="s">
        <v>29</v>
      </c>
      <c r="D170" s="8" t="n">
        <v>0.1466</v>
      </c>
      <c r="E170" s="8" t="n">
        <v>7.29</v>
      </c>
      <c r="F170" s="8" t="n">
        <v>10.1</v>
      </c>
      <c r="G170" s="8" t="n">
        <v>569</v>
      </c>
    </row>
    <row r="171" customFormat="false" ht="15" hidden="false" customHeight="false" outlineLevel="0" collapsed="false">
      <c r="A171" s="8" t="s">
        <v>238</v>
      </c>
      <c r="B171" s="8" t="s">
        <v>240</v>
      </c>
      <c r="C171" s="8" t="s">
        <v>32</v>
      </c>
      <c r="D171" s="8" t="n">
        <v>0.3477</v>
      </c>
      <c r="E171" s="8" t="n">
        <v>6.99</v>
      </c>
      <c r="F171" s="8" t="n">
        <v>13.9</v>
      </c>
      <c r="G171" s="8" t="n">
        <v>1026</v>
      </c>
    </row>
    <row r="172" customFormat="false" ht="15" hidden="false" customHeight="false" outlineLevel="0" collapsed="false">
      <c r="A172" s="8" t="s">
        <v>238</v>
      </c>
      <c r="B172" s="8" t="s">
        <v>241</v>
      </c>
      <c r="C172" s="8" t="s">
        <v>27</v>
      </c>
      <c r="D172" s="8" t="n">
        <v>0.1506</v>
      </c>
      <c r="E172" s="8" t="n">
        <v>6.32</v>
      </c>
      <c r="F172" s="8" t="n">
        <v>16.9</v>
      </c>
      <c r="G172" s="8" t="n">
        <v>540</v>
      </c>
    </row>
    <row r="173" customFormat="false" ht="15" hidden="false" customHeight="false" outlineLevel="0" collapsed="false">
      <c r="A173" s="8" t="s">
        <v>238</v>
      </c>
      <c r="B173" s="8" t="s">
        <v>242</v>
      </c>
      <c r="C173" s="8" t="s">
        <v>27</v>
      </c>
      <c r="D173" s="8" t="n">
        <v>0.1488</v>
      </c>
      <c r="E173" s="8" t="n">
        <v>8.13</v>
      </c>
      <c r="F173" s="8" t="n">
        <v>8.8</v>
      </c>
      <c r="G173" s="8" t="n">
        <v>656</v>
      </c>
    </row>
    <row r="174" customFormat="false" ht="15" hidden="false" customHeight="false" outlineLevel="0" collapsed="false">
      <c r="A174" s="8" t="s">
        <v>243</v>
      </c>
      <c r="B174" s="8" t="s">
        <v>244</v>
      </c>
      <c r="C174" s="8" t="s">
        <v>27</v>
      </c>
      <c r="D174" s="8" t="n">
        <v>0.0961</v>
      </c>
      <c r="E174" s="8" t="n">
        <v>6.79</v>
      </c>
      <c r="F174" s="8" t="n">
        <v>8.1</v>
      </c>
      <c r="G174" s="8" t="n">
        <v>683</v>
      </c>
    </row>
    <row r="175" customFormat="false" ht="15" hidden="false" customHeight="false" outlineLevel="0" collapsed="false">
      <c r="A175" s="8" t="s">
        <v>243</v>
      </c>
      <c r="B175" s="8" t="s">
        <v>245</v>
      </c>
      <c r="C175" s="8" t="s">
        <v>32</v>
      </c>
      <c r="D175" s="8" t="n">
        <v>0.3491</v>
      </c>
      <c r="E175" s="8" t="n">
        <v>8.05</v>
      </c>
      <c r="F175" s="8" t="n">
        <v>8.8</v>
      </c>
      <c r="G175" s="8" t="n">
        <v>519</v>
      </c>
    </row>
    <row r="176" customFormat="false" ht="15" hidden="false" customHeight="false" outlineLevel="0" collapsed="false">
      <c r="A176" s="8" t="s">
        <v>243</v>
      </c>
      <c r="B176" s="8" t="s">
        <v>246</v>
      </c>
      <c r="C176" s="8" t="s">
        <v>29</v>
      </c>
      <c r="D176" s="8" t="n">
        <v>0.1008</v>
      </c>
      <c r="E176" s="8" t="n">
        <v>7.79</v>
      </c>
      <c r="F176" s="8" t="n">
        <v>12</v>
      </c>
      <c r="G176" s="8" t="n">
        <v>552</v>
      </c>
    </row>
    <row r="177" customFormat="false" ht="15" hidden="false" customHeight="false" outlineLevel="0" collapsed="false">
      <c r="A177" s="8" t="s">
        <v>243</v>
      </c>
      <c r="B177" s="8" t="s">
        <v>247</v>
      </c>
      <c r="C177" s="8" t="s">
        <v>29</v>
      </c>
      <c r="D177" s="8" t="n">
        <v>0.0582</v>
      </c>
      <c r="E177" s="8" t="n">
        <v>7.68</v>
      </c>
      <c r="F177" s="8" t="n">
        <v>7.2</v>
      </c>
      <c r="G177" s="8" t="n">
        <v>415</v>
      </c>
    </row>
    <row r="178" customFormat="false" ht="15" hidden="false" customHeight="false" outlineLevel="0" collapsed="false">
      <c r="A178" s="8" t="s">
        <v>248</v>
      </c>
      <c r="B178" s="8" t="s">
        <v>249</v>
      </c>
      <c r="C178" s="8" t="s">
        <v>32</v>
      </c>
      <c r="D178" s="8" t="n">
        <v>0.2069</v>
      </c>
      <c r="E178" s="8" t="n">
        <v>8.19</v>
      </c>
      <c r="F178" s="8" t="n">
        <v>13.9</v>
      </c>
      <c r="G178" s="8" t="n">
        <v>771</v>
      </c>
    </row>
    <row r="179" customFormat="false" ht="15" hidden="false" customHeight="false" outlineLevel="0" collapsed="false">
      <c r="A179" s="8" t="s">
        <v>248</v>
      </c>
      <c r="B179" s="8" t="s">
        <v>250</v>
      </c>
      <c r="C179" s="8" t="s">
        <v>29</v>
      </c>
      <c r="D179" s="8" t="n">
        <v>0.2964</v>
      </c>
      <c r="E179" s="8" t="n">
        <v>7.07</v>
      </c>
      <c r="F179" s="8" t="n">
        <v>21</v>
      </c>
      <c r="G179" s="8" t="n">
        <v>752</v>
      </c>
    </row>
    <row r="180" customFormat="false" ht="15" hidden="false" customHeight="false" outlineLevel="0" collapsed="false">
      <c r="A180" s="8" t="s">
        <v>248</v>
      </c>
      <c r="B180" s="8" t="s">
        <v>251</v>
      </c>
      <c r="C180" s="8" t="s">
        <v>27</v>
      </c>
      <c r="D180" s="8" t="n">
        <v>0.0329</v>
      </c>
      <c r="E180" s="8" t="n">
        <v>7.04</v>
      </c>
      <c r="F180" s="8" t="n">
        <v>10</v>
      </c>
      <c r="G180" s="8" t="n">
        <v>809</v>
      </c>
    </row>
    <row r="181" customFormat="false" ht="15" hidden="false" customHeight="false" outlineLevel="0" collapsed="false">
      <c r="A181" s="8" t="s">
        <v>248</v>
      </c>
      <c r="B181" s="8" t="s">
        <v>252</v>
      </c>
      <c r="C181" s="8" t="s">
        <v>27</v>
      </c>
      <c r="D181" s="8" t="n">
        <v>0.1054</v>
      </c>
      <c r="E181" s="8" t="n">
        <v>7.23</v>
      </c>
      <c r="F181" s="8" t="n">
        <v>5.5</v>
      </c>
      <c r="G181" s="8" t="n">
        <v>508</v>
      </c>
    </row>
    <row r="182" customFormat="false" ht="15" hidden="false" customHeight="false" outlineLevel="0" collapsed="false">
      <c r="A182" s="8" t="s">
        <v>253</v>
      </c>
      <c r="B182" s="8" t="s">
        <v>254</v>
      </c>
      <c r="C182" s="8" t="s">
        <v>27</v>
      </c>
      <c r="D182" s="8" t="n">
        <v>0.0096</v>
      </c>
      <c r="E182" s="8" t="n">
        <v>7.57</v>
      </c>
      <c r="F182" s="8" t="n">
        <v>5.7</v>
      </c>
      <c r="G182" s="8" t="n">
        <v>696</v>
      </c>
    </row>
    <row r="183" customFormat="false" ht="15" hidden="false" customHeight="false" outlineLevel="0" collapsed="false">
      <c r="A183" s="8" t="s">
        <v>253</v>
      </c>
      <c r="B183" s="8" t="s">
        <v>255</v>
      </c>
      <c r="C183" s="8" t="s">
        <v>27</v>
      </c>
      <c r="D183" s="8" t="n">
        <v>0.0918</v>
      </c>
      <c r="E183" s="8" t="n">
        <v>6.54</v>
      </c>
      <c r="F183" s="8" t="n">
        <v>11.7</v>
      </c>
      <c r="G183" s="8" t="n">
        <v>574</v>
      </c>
    </row>
    <row r="184" customFormat="false" ht="15" hidden="false" customHeight="false" outlineLevel="0" collapsed="false">
      <c r="A184" s="8" t="s">
        <v>253</v>
      </c>
      <c r="B184" s="8" t="s">
        <v>256</v>
      </c>
      <c r="C184" s="8" t="s">
        <v>29</v>
      </c>
      <c r="D184" s="8" t="n">
        <v>0.0525</v>
      </c>
      <c r="E184" s="8" t="n">
        <v>7.64</v>
      </c>
      <c r="F184" s="8" t="n">
        <v>13.3</v>
      </c>
      <c r="G184" s="8" t="n">
        <v>577</v>
      </c>
    </row>
    <row r="185" customFormat="false" ht="15" hidden="false" customHeight="false" outlineLevel="0" collapsed="false">
      <c r="A185" s="8" t="s">
        <v>253</v>
      </c>
      <c r="B185" s="8" t="s">
        <v>257</v>
      </c>
      <c r="C185" s="8" t="s">
        <v>32</v>
      </c>
      <c r="D185" s="8" t="n">
        <v>0.1977</v>
      </c>
      <c r="E185" s="8" t="n">
        <v>5.86</v>
      </c>
      <c r="F185" s="8" t="n">
        <v>16.6</v>
      </c>
      <c r="G185" s="8" t="n">
        <v>623</v>
      </c>
    </row>
    <row r="186" customFormat="false" ht="15" hidden="false" customHeight="false" outlineLevel="0" collapsed="false">
      <c r="A186" s="8" t="s">
        <v>258</v>
      </c>
      <c r="B186" s="8" t="s">
        <v>259</v>
      </c>
      <c r="C186" s="8" t="s">
        <v>29</v>
      </c>
      <c r="D186" s="8" t="n">
        <v>0.1825</v>
      </c>
      <c r="E186" s="8" t="n">
        <v>7.21</v>
      </c>
      <c r="F186" s="8" t="n">
        <v>8.2</v>
      </c>
      <c r="G186" s="8" t="n">
        <v>666</v>
      </c>
    </row>
    <row r="187" customFormat="false" ht="15" hidden="false" customHeight="false" outlineLevel="0" collapsed="false">
      <c r="A187" s="8" t="s">
        <v>258</v>
      </c>
      <c r="B187" s="8" t="s">
        <v>260</v>
      </c>
      <c r="C187" s="8" t="s">
        <v>27</v>
      </c>
      <c r="D187" s="8" t="n">
        <v>0.206</v>
      </c>
      <c r="E187" s="8" t="n">
        <v>6.66</v>
      </c>
      <c r="F187" s="8" t="n">
        <v>6.9</v>
      </c>
      <c r="G187" s="8" t="n">
        <v>356</v>
      </c>
    </row>
    <row r="188" customFormat="false" ht="15" hidden="false" customHeight="false" outlineLevel="0" collapsed="false">
      <c r="A188" s="8" t="s">
        <v>258</v>
      </c>
      <c r="B188" s="8" t="s">
        <v>261</v>
      </c>
      <c r="C188" s="8" t="s">
        <v>27</v>
      </c>
      <c r="D188" s="8" t="n">
        <v>0.0916</v>
      </c>
      <c r="E188" s="8" t="n">
        <v>7.74</v>
      </c>
      <c r="F188" s="8" t="n">
        <v>10.9</v>
      </c>
      <c r="G188" s="8" t="n">
        <v>906</v>
      </c>
    </row>
    <row r="189" customFormat="false" ht="15" hidden="false" customHeight="false" outlineLevel="0" collapsed="false">
      <c r="A189" s="8" t="s">
        <v>258</v>
      </c>
      <c r="B189" s="8" t="s">
        <v>262</v>
      </c>
      <c r="C189" s="8" t="s">
        <v>32</v>
      </c>
      <c r="D189" s="8" t="n">
        <v>0.0646</v>
      </c>
      <c r="E189" s="8" t="n">
        <v>7.69</v>
      </c>
      <c r="F189" s="8" t="n">
        <v>16.9</v>
      </c>
      <c r="G189" s="8" t="n">
        <v>921</v>
      </c>
    </row>
    <row r="190" customFormat="false" ht="15" hidden="false" customHeight="false" outlineLevel="0" collapsed="false">
      <c r="A190" s="8" t="s">
        <v>263</v>
      </c>
      <c r="B190" s="8" t="s">
        <v>264</v>
      </c>
      <c r="C190" s="8" t="s">
        <v>27</v>
      </c>
      <c r="D190" s="8" t="n">
        <v>0.1407</v>
      </c>
      <c r="E190" s="8" t="n">
        <v>6.96</v>
      </c>
      <c r="F190" s="8" t="n">
        <v>16.4</v>
      </c>
      <c r="G190" s="8" t="n">
        <v>617</v>
      </c>
    </row>
    <row r="191" customFormat="false" ht="15" hidden="false" customHeight="false" outlineLevel="0" collapsed="false">
      <c r="A191" s="8" t="s">
        <v>263</v>
      </c>
      <c r="B191" s="8" t="s">
        <v>265</v>
      </c>
      <c r="C191" s="8" t="s">
        <v>29</v>
      </c>
      <c r="D191" s="8" t="n">
        <v>0.2517</v>
      </c>
      <c r="E191" s="8" t="n">
        <v>5.41</v>
      </c>
      <c r="F191" s="8" t="n">
        <v>18.9</v>
      </c>
      <c r="G191" s="8" t="n">
        <v>659</v>
      </c>
    </row>
    <row r="192" customFormat="false" ht="15" hidden="false" customHeight="false" outlineLevel="0" collapsed="false">
      <c r="A192" s="8" t="s">
        <v>263</v>
      </c>
      <c r="B192" s="8" t="s">
        <v>266</v>
      </c>
      <c r="C192" s="8" t="s">
        <v>27</v>
      </c>
      <c r="D192" s="8" t="n">
        <v>0.0846</v>
      </c>
      <c r="E192" s="8" t="n">
        <v>7.51</v>
      </c>
      <c r="F192" s="8" t="n">
        <v>20.1</v>
      </c>
      <c r="G192" s="8" t="n">
        <v>700</v>
      </c>
    </row>
    <row r="193" customFormat="false" ht="15" hidden="false" customHeight="false" outlineLevel="0" collapsed="false">
      <c r="A193" s="8" t="s">
        <v>263</v>
      </c>
      <c r="B193" s="8" t="s">
        <v>267</v>
      </c>
      <c r="C193" s="8" t="s">
        <v>32</v>
      </c>
      <c r="D193" s="8" t="n">
        <v>0.2372</v>
      </c>
      <c r="E193" s="8" t="n">
        <v>6.6</v>
      </c>
      <c r="F193" s="8" t="n">
        <v>18.9</v>
      </c>
      <c r="G193" s="8" t="n">
        <v>764</v>
      </c>
    </row>
    <row r="194" customFormat="false" ht="15" hidden="false" customHeight="false" outlineLevel="0" collapsed="false">
      <c r="A194" s="8" t="s">
        <v>268</v>
      </c>
      <c r="B194" s="8" t="s">
        <v>269</v>
      </c>
      <c r="C194" s="8" t="s">
        <v>32</v>
      </c>
      <c r="D194" s="8" t="n">
        <v>0.2077</v>
      </c>
      <c r="E194" s="8" t="n">
        <v>6.68</v>
      </c>
      <c r="F194" s="8" t="n">
        <v>19.9</v>
      </c>
      <c r="G194" s="8" t="n">
        <v>585</v>
      </c>
    </row>
    <row r="195" customFormat="false" ht="15" hidden="false" customHeight="false" outlineLevel="0" collapsed="false">
      <c r="A195" s="8" t="s">
        <v>268</v>
      </c>
      <c r="B195" s="8" t="s">
        <v>270</v>
      </c>
      <c r="C195" s="8" t="s">
        <v>27</v>
      </c>
      <c r="D195" s="8" t="n">
        <v>0.1337</v>
      </c>
      <c r="E195" s="8" t="n">
        <v>7.38</v>
      </c>
      <c r="F195" s="8" t="n">
        <v>12.6</v>
      </c>
      <c r="G195" s="8" t="n">
        <v>580</v>
      </c>
    </row>
    <row r="196" customFormat="false" ht="15" hidden="false" customHeight="false" outlineLevel="0" collapsed="false">
      <c r="A196" s="8" t="s">
        <v>268</v>
      </c>
      <c r="B196" s="8" t="s">
        <v>271</v>
      </c>
      <c r="C196" s="8" t="s">
        <v>32</v>
      </c>
      <c r="D196" s="8" t="n">
        <v>0.2716</v>
      </c>
      <c r="E196" s="8" t="n">
        <v>7.43</v>
      </c>
      <c r="F196" s="8" t="n">
        <v>16.1</v>
      </c>
      <c r="G196" s="8" t="n">
        <v>790</v>
      </c>
    </row>
    <row r="197" customFormat="false" ht="15" hidden="false" customHeight="false" outlineLevel="0" collapsed="false">
      <c r="A197" s="8" t="s">
        <v>268</v>
      </c>
      <c r="B197" s="8" t="s">
        <v>272</v>
      </c>
      <c r="C197" s="8" t="s">
        <v>27</v>
      </c>
      <c r="D197" s="8" t="n">
        <v>0.0438</v>
      </c>
      <c r="E197" s="8" t="n">
        <v>7.46</v>
      </c>
      <c r="F197" s="8" t="n">
        <v>20.6</v>
      </c>
      <c r="G197" s="8" t="n">
        <v>844</v>
      </c>
    </row>
    <row r="198" customFormat="false" ht="15" hidden="false" customHeight="false" outlineLevel="0" collapsed="false">
      <c r="A198" s="8" t="s">
        <v>273</v>
      </c>
      <c r="B198" s="8" t="s">
        <v>274</v>
      </c>
      <c r="C198" s="8" t="s">
        <v>29</v>
      </c>
      <c r="D198" s="8" t="n">
        <v>0.1522</v>
      </c>
      <c r="E198" s="8" t="n">
        <v>6.91</v>
      </c>
      <c r="F198" s="8" t="n">
        <v>19.1</v>
      </c>
      <c r="G198" s="8" t="n">
        <v>789</v>
      </c>
    </row>
    <row r="199" customFormat="false" ht="15" hidden="false" customHeight="false" outlineLevel="0" collapsed="false">
      <c r="A199" s="8" t="s">
        <v>273</v>
      </c>
      <c r="B199" s="8" t="s">
        <v>275</v>
      </c>
      <c r="C199" s="8" t="s">
        <v>29</v>
      </c>
      <c r="D199" s="8" t="n">
        <v>0.2666</v>
      </c>
      <c r="E199" s="8" t="n">
        <v>6.76</v>
      </c>
      <c r="F199" s="8" t="n">
        <v>15.4</v>
      </c>
      <c r="G199" s="8" t="n">
        <v>674</v>
      </c>
    </row>
    <row r="200" customFormat="false" ht="15" hidden="false" customHeight="false" outlineLevel="0" collapsed="false">
      <c r="A200" s="8" t="s">
        <v>273</v>
      </c>
      <c r="B200" s="8" t="s">
        <v>276</v>
      </c>
      <c r="C200" s="8" t="s">
        <v>32</v>
      </c>
      <c r="D200" s="8" t="n">
        <v>0.2097</v>
      </c>
      <c r="E200" s="8" t="n">
        <v>7.38</v>
      </c>
      <c r="F200" s="8" t="n">
        <v>13.9</v>
      </c>
      <c r="G200" s="8" t="n">
        <v>609</v>
      </c>
    </row>
    <row r="201" customFormat="false" ht="15" hidden="false" customHeight="false" outlineLevel="0" collapsed="false">
      <c r="A201" s="8" t="s">
        <v>273</v>
      </c>
      <c r="B201" s="8" t="s">
        <v>277</v>
      </c>
      <c r="C201" s="8" t="s">
        <v>29</v>
      </c>
      <c r="D201" s="8" t="n">
        <v>0.0767</v>
      </c>
      <c r="E201" s="8" t="n">
        <v>6.35</v>
      </c>
      <c r="F201" s="8" t="n">
        <v>13.3</v>
      </c>
      <c r="G201" s="8" t="n">
        <v>372</v>
      </c>
    </row>
    <row r="202" customFormat="false" ht="15" hidden="false" customHeight="false" outlineLevel="0" collapsed="false">
      <c r="A202" s="8" t="s">
        <v>278</v>
      </c>
      <c r="B202" s="8" t="s">
        <v>279</v>
      </c>
      <c r="C202" s="8" t="s">
        <v>29</v>
      </c>
      <c r="D202" s="8" t="n">
        <v>0.2255</v>
      </c>
      <c r="E202" s="8" t="n">
        <v>6.86</v>
      </c>
      <c r="F202" s="8" t="n">
        <v>17.1</v>
      </c>
      <c r="G202" s="8" t="n">
        <v>545</v>
      </c>
    </row>
    <row r="203" customFormat="false" ht="15" hidden="false" customHeight="false" outlineLevel="0" collapsed="false">
      <c r="A203" s="8" t="s">
        <v>278</v>
      </c>
      <c r="B203" s="8" t="s">
        <v>280</v>
      </c>
      <c r="C203" s="8" t="s">
        <v>29</v>
      </c>
      <c r="D203" s="8" t="n">
        <v>0.3371</v>
      </c>
      <c r="E203" s="8" t="n">
        <v>6.54</v>
      </c>
      <c r="F203" s="8" t="n">
        <v>19.2</v>
      </c>
      <c r="G203" s="8" t="n">
        <v>412</v>
      </c>
    </row>
    <row r="204" customFormat="false" ht="15" hidden="false" customHeight="false" outlineLevel="0" collapsed="false">
      <c r="A204" s="8" t="s">
        <v>278</v>
      </c>
      <c r="B204" s="8" t="s">
        <v>281</v>
      </c>
      <c r="C204" s="8" t="s">
        <v>29</v>
      </c>
      <c r="D204" s="8" t="n">
        <v>0.2475</v>
      </c>
      <c r="E204" s="8" t="n">
        <v>8.51</v>
      </c>
      <c r="F204" s="8" t="n">
        <v>22.9</v>
      </c>
      <c r="G204" s="8" t="n">
        <v>795</v>
      </c>
    </row>
    <row r="205" customFormat="false" ht="15" hidden="false" customHeight="false" outlineLevel="0" collapsed="false">
      <c r="A205" s="8" t="s">
        <v>278</v>
      </c>
      <c r="B205" s="8" t="s">
        <v>282</v>
      </c>
      <c r="C205" s="8" t="s">
        <v>29</v>
      </c>
      <c r="D205" s="8" t="n">
        <v>0.328</v>
      </c>
      <c r="E205" s="8" t="n">
        <v>6.31</v>
      </c>
      <c r="F205" s="8" t="n">
        <v>19</v>
      </c>
      <c r="G205" s="8" t="n">
        <v>456</v>
      </c>
    </row>
    <row r="206" customFormat="false" ht="15" hidden="false" customHeight="false" outlineLevel="0" collapsed="false">
      <c r="A206" s="8" t="s">
        <v>283</v>
      </c>
      <c r="B206" s="8" t="s">
        <v>284</v>
      </c>
      <c r="C206" s="8" t="s">
        <v>32</v>
      </c>
      <c r="D206" s="8" t="n">
        <v>0.2671</v>
      </c>
      <c r="E206" s="8" t="n">
        <v>7.38</v>
      </c>
      <c r="F206" s="8" t="n">
        <v>10.5</v>
      </c>
      <c r="G206" s="8" t="n">
        <v>653</v>
      </c>
    </row>
    <row r="207" customFormat="false" ht="15" hidden="false" customHeight="false" outlineLevel="0" collapsed="false">
      <c r="A207" s="8" t="s">
        <v>283</v>
      </c>
      <c r="B207" s="8" t="s">
        <v>285</v>
      </c>
      <c r="C207" s="8" t="s">
        <v>29</v>
      </c>
      <c r="D207" s="8" t="n">
        <v>0.1</v>
      </c>
      <c r="E207" s="8" t="n">
        <v>7.14</v>
      </c>
      <c r="F207" s="8" t="n">
        <v>12.9</v>
      </c>
      <c r="G207" s="8" t="n">
        <v>654</v>
      </c>
    </row>
    <row r="208" customFormat="false" ht="15" hidden="false" customHeight="false" outlineLevel="0" collapsed="false">
      <c r="A208" s="8" t="s">
        <v>283</v>
      </c>
      <c r="B208" s="8" t="s">
        <v>286</v>
      </c>
      <c r="C208" s="8" t="s">
        <v>29</v>
      </c>
      <c r="D208" s="8" t="n">
        <v>0.2557</v>
      </c>
      <c r="E208" s="8" t="n">
        <v>6.66</v>
      </c>
      <c r="F208" s="8" t="n">
        <v>17.6</v>
      </c>
      <c r="G208" s="8" t="n">
        <v>638</v>
      </c>
    </row>
    <row r="209" customFormat="false" ht="15" hidden="false" customHeight="false" outlineLevel="0" collapsed="false">
      <c r="A209" s="8" t="s">
        <v>283</v>
      </c>
      <c r="B209" s="8" t="s">
        <v>287</v>
      </c>
      <c r="C209" s="8" t="s">
        <v>27</v>
      </c>
      <c r="D209" s="8" t="n">
        <v>0.0724</v>
      </c>
      <c r="E209" s="8" t="n">
        <v>7.89</v>
      </c>
      <c r="F209" s="8" t="n">
        <v>20.3</v>
      </c>
      <c r="G209" s="8" t="n">
        <v>533</v>
      </c>
    </row>
    <row r="210" customFormat="false" ht="15" hidden="false" customHeight="false" outlineLevel="0" collapsed="false">
      <c r="A210" s="8" t="s">
        <v>288</v>
      </c>
      <c r="B210" s="8" t="s">
        <v>289</v>
      </c>
      <c r="C210" s="8" t="s">
        <v>27</v>
      </c>
      <c r="D210" s="8" t="n">
        <v>0.2638</v>
      </c>
      <c r="E210" s="8" t="n">
        <v>7.25</v>
      </c>
      <c r="F210" s="8" t="n">
        <v>15.5</v>
      </c>
      <c r="G210" s="8" t="n">
        <v>497</v>
      </c>
    </row>
    <row r="211" customFormat="false" ht="15" hidden="false" customHeight="false" outlineLevel="0" collapsed="false">
      <c r="A211" s="8" t="s">
        <v>288</v>
      </c>
      <c r="B211" s="8" t="s">
        <v>290</v>
      </c>
      <c r="C211" s="8" t="s">
        <v>29</v>
      </c>
      <c r="D211" s="8" t="n">
        <v>0.2118</v>
      </c>
      <c r="E211" s="8" t="n">
        <v>7.1</v>
      </c>
      <c r="F211" s="8" t="n">
        <v>17.7</v>
      </c>
      <c r="G211" s="8" t="n">
        <v>676</v>
      </c>
    </row>
    <row r="212" customFormat="false" ht="15" hidden="false" customHeight="false" outlineLevel="0" collapsed="false">
      <c r="A212" s="8" t="s">
        <v>288</v>
      </c>
      <c r="B212" s="8" t="s">
        <v>291</v>
      </c>
      <c r="C212" s="8" t="s">
        <v>32</v>
      </c>
      <c r="D212" s="8" t="n">
        <v>0.1752</v>
      </c>
      <c r="E212" s="8" t="n">
        <v>6.96</v>
      </c>
      <c r="F212" s="8" t="n">
        <v>19.7</v>
      </c>
      <c r="G212" s="8" t="n">
        <v>737</v>
      </c>
    </row>
    <row r="213" customFormat="false" ht="15" hidden="false" customHeight="false" outlineLevel="0" collapsed="false">
      <c r="A213" s="8" t="s">
        <v>288</v>
      </c>
      <c r="B213" s="8" t="s">
        <v>292</v>
      </c>
      <c r="C213" s="8" t="s">
        <v>29</v>
      </c>
      <c r="D213" s="8" t="n">
        <v>0.2279</v>
      </c>
      <c r="E213" s="8" t="n">
        <v>6.56</v>
      </c>
      <c r="F213" s="8" t="n">
        <v>22</v>
      </c>
      <c r="G213" s="8" t="n">
        <v>810</v>
      </c>
    </row>
    <row r="214" customFormat="false" ht="15" hidden="false" customHeight="false" outlineLevel="0" collapsed="false">
      <c r="A214" s="8" t="s">
        <v>293</v>
      </c>
      <c r="B214" s="8" t="s">
        <v>294</v>
      </c>
      <c r="C214" s="8" t="s">
        <v>27</v>
      </c>
      <c r="D214" s="8" t="n">
        <v>0.148</v>
      </c>
      <c r="E214" s="8" t="n">
        <v>6.97</v>
      </c>
      <c r="F214" s="8" t="n">
        <v>18.2</v>
      </c>
      <c r="G214" s="8" t="n">
        <v>689</v>
      </c>
    </row>
    <row r="215" customFormat="false" ht="15" hidden="false" customHeight="false" outlineLevel="0" collapsed="false">
      <c r="A215" s="8" t="s">
        <v>293</v>
      </c>
      <c r="B215" s="8" t="s">
        <v>295</v>
      </c>
      <c r="C215" s="8" t="s">
        <v>27</v>
      </c>
      <c r="D215" s="8" t="n">
        <v>0.0924</v>
      </c>
      <c r="E215" s="8" t="n">
        <v>6.94</v>
      </c>
      <c r="F215" s="8" t="n">
        <v>14.2</v>
      </c>
      <c r="G215" s="8" t="n">
        <v>948</v>
      </c>
    </row>
    <row r="216" customFormat="false" ht="15" hidden="false" customHeight="false" outlineLevel="0" collapsed="false">
      <c r="A216" s="8" t="s">
        <v>293</v>
      </c>
      <c r="B216" s="8" t="s">
        <v>296</v>
      </c>
      <c r="C216" s="8" t="s">
        <v>27</v>
      </c>
      <c r="D216" s="8" t="n">
        <v>0.0088</v>
      </c>
      <c r="E216" s="8" t="n">
        <v>6.36</v>
      </c>
      <c r="F216" s="8" t="n">
        <v>22.7</v>
      </c>
      <c r="G216" s="8" t="n">
        <v>598</v>
      </c>
    </row>
    <row r="217" customFormat="false" ht="15" hidden="false" customHeight="false" outlineLevel="0" collapsed="false">
      <c r="A217" s="8" t="s">
        <v>293</v>
      </c>
      <c r="B217" s="8" t="s">
        <v>297</v>
      </c>
      <c r="C217" s="8" t="s">
        <v>27</v>
      </c>
      <c r="D217" s="8" t="n">
        <v>0.1785</v>
      </c>
      <c r="E217" s="8" t="n">
        <v>8.17</v>
      </c>
      <c r="F217" s="8" t="n">
        <v>16.6</v>
      </c>
      <c r="G217" s="8" t="n">
        <v>739</v>
      </c>
    </row>
    <row r="218" customFormat="false" ht="15" hidden="false" customHeight="false" outlineLevel="0" collapsed="false">
      <c r="A218" s="8" t="s">
        <v>298</v>
      </c>
      <c r="B218" s="8" t="s">
        <v>299</v>
      </c>
      <c r="C218" s="8" t="s">
        <v>29</v>
      </c>
      <c r="D218" s="8" t="n">
        <v>0.1201</v>
      </c>
      <c r="E218" s="8" t="n">
        <v>7.81</v>
      </c>
      <c r="F218" s="8" t="n">
        <v>17.5</v>
      </c>
      <c r="G218" s="8" t="n">
        <v>590</v>
      </c>
    </row>
    <row r="219" customFormat="false" ht="15" hidden="false" customHeight="false" outlineLevel="0" collapsed="false">
      <c r="A219" s="8" t="s">
        <v>298</v>
      </c>
      <c r="B219" s="8" t="s">
        <v>300</v>
      </c>
      <c r="C219" s="8" t="s">
        <v>27</v>
      </c>
      <c r="D219" s="8" t="n">
        <v>0.0149</v>
      </c>
      <c r="E219" s="8" t="n">
        <v>6.27</v>
      </c>
      <c r="F219" s="8" t="n">
        <v>14.4</v>
      </c>
      <c r="G219" s="8" t="n">
        <v>659</v>
      </c>
    </row>
    <row r="220" customFormat="false" ht="15" hidden="false" customHeight="false" outlineLevel="0" collapsed="false">
      <c r="A220" s="8" t="s">
        <v>298</v>
      </c>
      <c r="B220" s="8" t="s">
        <v>301</v>
      </c>
      <c r="C220" s="8" t="s">
        <v>27</v>
      </c>
      <c r="D220" s="8" t="n">
        <v>0.1746</v>
      </c>
      <c r="E220" s="8" t="n">
        <v>7.34</v>
      </c>
      <c r="F220" s="8" t="n">
        <v>14.9</v>
      </c>
      <c r="G220" s="8" t="n">
        <v>681</v>
      </c>
    </row>
    <row r="221" customFormat="false" ht="15" hidden="false" customHeight="false" outlineLevel="0" collapsed="false">
      <c r="A221" s="8" t="s">
        <v>298</v>
      </c>
      <c r="B221" s="8" t="s">
        <v>302</v>
      </c>
      <c r="C221" s="8" t="s">
        <v>32</v>
      </c>
      <c r="D221" s="8" t="n">
        <v>0.2895</v>
      </c>
      <c r="E221" s="8" t="n">
        <v>7.84</v>
      </c>
      <c r="F221" s="8" t="n">
        <v>17.4</v>
      </c>
      <c r="G221" s="8" t="n">
        <v>728</v>
      </c>
    </row>
    <row r="222" customFormat="false" ht="15" hidden="false" customHeight="false" outlineLevel="0" collapsed="false">
      <c r="A222" s="8" t="s">
        <v>303</v>
      </c>
      <c r="B222" s="8" t="s">
        <v>304</v>
      </c>
      <c r="C222" s="8" t="s">
        <v>29</v>
      </c>
      <c r="D222" s="8" t="n">
        <v>0.1885</v>
      </c>
      <c r="E222" s="8" t="n">
        <v>6.8</v>
      </c>
      <c r="F222" s="8" t="n">
        <v>10.4</v>
      </c>
      <c r="G222" s="8" t="n">
        <v>585</v>
      </c>
    </row>
    <row r="223" customFormat="false" ht="15" hidden="false" customHeight="false" outlineLevel="0" collapsed="false">
      <c r="A223" s="8" t="s">
        <v>303</v>
      </c>
      <c r="B223" s="8" t="s">
        <v>305</v>
      </c>
      <c r="C223" s="8" t="s">
        <v>29</v>
      </c>
      <c r="D223" s="8" t="n">
        <v>0.0919</v>
      </c>
      <c r="E223" s="8" t="n">
        <v>6.47</v>
      </c>
      <c r="F223" s="8" t="n">
        <v>9.8</v>
      </c>
      <c r="G223" s="8" t="n">
        <v>886</v>
      </c>
    </row>
    <row r="224" customFormat="false" ht="15" hidden="false" customHeight="false" outlineLevel="0" collapsed="false">
      <c r="A224" s="8" t="s">
        <v>303</v>
      </c>
      <c r="B224" s="8" t="s">
        <v>306</v>
      </c>
      <c r="C224" s="8" t="s">
        <v>32</v>
      </c>
      <c r="D224" s="8" t="n">
        <v>0.0678</v>
      </c>
      <c r="E224" s="8" t="n">
        <v>7.43</v>
      </c>
      <c r="F224" s="8" t="n">
        <v>22.8</v>
      </c>
      <c r="G224" s="8" t="n">
        <v>455</v>
      </c>
    </row>
    <row r="225" customFormat="false" ht="15" hidden="false" customHeight="false" outlineLevel="0" collapsed="false">
      <c r="A225" s="8" t="s">
        <v>303</v>
      </c>
      <c r="B225" s="8" t="s">
        <v>307</v>
      </c>
      <c r="C225" s="8" t="s">
        <v>32</v>
      </c>
      <c r="D225" s="8" t="n">
        <v>0.2048</v>
      </c>
      <c r="E225" s="8" t="n">
        <v>6.57</v>
      </c>
      <c r="F225" s="8" t="n">
        <v>18.8</v>
      </c>
      <c r="G225" s="8" t="n">
        <v>672</v>
      </c>
    </row>
    <row r="226" customFormat="false" ht="15" hidden="false" customHeight="false" outlineLevel="0" collapsed="false">
      <c r="A226" s="8" t="s">
        <v>308</v>
      </c>
      <c r="B226" s="8" t="s">
        <v>309</v>
      </c>
      <c r="C226" s="8" t="s">
        <v>27</v>
      </c>
      <c r="D226" s="8" t="n">
        <v>0.1507</v>
      </c>
      <c r="E226" s="8" t="n">
        <v>7.16</v>
      </c>
      <c r="F226" s="8" t="n">
        <v>18.5</v>
      </c>
      <c r="G226" s="8" t="n">
        <v>767</v>
      </c>
    </row>
    <row r="227" customFormat="false" ht="15" hidden="false" customHeight="false" outlineLevel="0" collapsed="false">
      <c r="A227" s="8" t="s">
        <v>308</v>
      </c>
      <c r="B227" s="8" t="s">
        <v>310</v>
      </c>
      <c r="C227" s="8" t="s">
        <v>27</v>
      </c>
      <c r="D227" s="8" t="n">
        <v>0.1561</v>
      </c>
      <c r="E227" s="8" t="n">
        <v>7.8</v>
      </c>
      <c r="F227" s="8" t="n">
        <v>15</v>
      </c>
      <c r="G227" s="8" t="n">
        <v>634</v>
      </c>
    </row>
    <row r="228" customFormat="false" ht="15" hidden="false" customHeight="false" outlineLevel="0" collapsed="false">
      <c r="A228" s="8" t="s">
        <v>308</v>
      </c>
      <c r="B228" s="8" t="s">
        <v>311</v>
      </c>
      <c r="C228" s="8" t="s">
        <v>29</v>
      </c>
      <c r="D228" s="8" t="n">
        <v>0.2065</v>
      </c>
      <c r="E228" s="8" t="n">
        <v>7.34</v>
      </c>
      <c r="F228" s="8" t="n">
        <v>13</v>
      </c>
      <c r="G228" s="8" t="n">
        <v>588</v>
      </c>
    </row>
    <row r="229" customFormat="false" ht="15" hidden="false" customHeight="false" outlineLevel="0" collapsed="false">
      <c r="A229" s="8" t="s">
        <v>308</v>
      </c>
      <c r="B229" s="8" t="s">
        <v>312</v>
      </c>
      <c r="C229" s="8" t="s">
        <v>29</v>
      </c>
      <c r="D229" s="8" t="n">
        <v>0.107</v>
      </c>
      <c r="E229" s="8" t="n">
        <v>6.23</v>
      </c>
      <c r="F229" s="8" t="n">
        <v>21.6</v>
      </c>
      <c r="G229" s="8" t="n">
        <v>579</v>
      </c>
    </row>
    <row r="230" customFormat="false" ht="15" hidden="false" customHeight="false" outlineLevel="0" collapsed="false">
      <c r="A230" s="8" t="s">
        <v>313</v>
      </c>
      <c r="B230" s="8" t="s">
        <v>314</v>
      </c>
      <c r="C230" s="8" t="s">
        <v>29</v>
      </c>
      <c r="D230" s="8" t="n">
        <v>0.1902</v>
      </c>
      <c r="E230" s="8" t="n">
        <v>6.38</v>
      </c>
      <c r="F230" s="8" t="n">
        <v>20.9</v>
      </c>
      <c r="G230" s="8" t="n">
        <v>787</v>
      </c>
    </row>
    <row r="231" customFormat="false" ht="15" hidden="false" customHeight="false" outlineLevel="0" collapsed="false">
      <c r="A231" s="8" t="s">
        <v>313</v>
      </c>
      <c r="B231" s="8" t="s">
        <v>315</v>
      </c>
      <c r="C231" s="8" t="s">
        <v>29</v>
      </c>
      <c r="D231" s="8" t="n">
        <v>0.2195</v>
      </c>
      <c r="E231" s="8" t="n">
        <v>7.02</v>
      </c>
      <c r="F231" s="8" t="n">
        <v>12.2</v>
      </c>
      <c r="G231" s="8" t="n">
        <v>464</v>
      </c>
    </row>
    <row r="232" customFormat="false" ht="15" hidden="false" customHeight="false" outlineLevel="0" collapsed="false">
      <c r="A232" s="8" t="s">
        <v>313</v>
      </c>
      <c r="B232" s="8" t="s">
        <v>316</v>
      </c>
      <c r="C232" s="8" t="s">
        <v>29</v>
      </c>
      <c r="D232" s="8" t="n">
        <v>0.2051</v>
      </c>
      <c r="E232" s="8" t="n">
        <v>7.61</v>
      </c>
      <c r="F232" s="8" t="n">
        <v>20.4</v>
      </c>
      <c r="G232" s="8" t="n">
        <v>949</v>
      </c>
    </row>
    <row r="233" customFormat="false" ht="15" hidden="false" customHeight="false" outlineLevel="0" collapsed="false">
      <c r="A233" s="8" t="s">
        <v>313</v>
      </c>
      <c r="B233" s="8" t="s">
        <v>317</v>
      </c>
      <c r="C233" s="8" t="s">
        <v>27</v>
      </c>
      <c r="D233" s="8" t="n">
        <v>0.1185</v>
      </c>
      <c r="E233" s="8" t="n">
        <v>6.38</v>
      </c>
      <c r="F233" s="8" t="n">
        <v>14.9</v>
      </c>
      <c r="G233" s="8" t="n">
        <v>654</v>
      </c>
    </row>
    <row r="234" customFormat="false" ht="15" hidden="false" customHeight="false" outlineLevel="0" collapsed="false">
      <c r="A234" s="8" t="s">
        <v>318</v>
      </c>
      <c r="B234" s="8" t="s">
        <v>319</v>
      </c>
      <c r="C234" s="8" t="s">
        <v>32</v>
      </c>
      <c r="D234" s="8" t="n">
        <v>0.1526</v>
      </c>
      <c r="E234" s="8" t="n">
        <v>6.82</v>
      </c>
      <c r="F234" s="8" t="n">
        <v>13.8</v>
      </c>
      <c r="G234" s="8" t="n">
        <v>731</v>
      </c>
    </row>
    <row r="235" customFormat="false" ht="15" hidden="false" customHeight="false" outlineLevel="0" collapsed="false">
      <c r="A235" s="8" t="s">
        <v>318</v>
      </c>
      <c r="B235" s="8" t="s">
        <v>320</v>
      </c>
      <c r="C235" s="8" t="s">
        <v>27</v>
      </c>
      <c r="D235" s="8" t="n">
        <v>0.1215</v>
      </c>
      <c r="E235" s="8" t="n">
        <v>6.31</v>
      </c>
      <c r="F235" s="8" t="n">
        <v>11.2</v>
      </c>
      <c r="G235" s="8" t="n">
        <v>856</v>
      </c>
    </row>
    <row r="236" customFormat="false" ht="15" hidden="false" customHeight="false" outlineLevel="0" collapsed="false">
      <c r="A236" s="8" t="s">
        <v>318</v>
      </c>
      <c r="B236" s="8" t="s">
        <v>321</v>
      </c>
      <c r="C236" s="8" t="s">
        <v>29</v>
      </c>
      <c r="D236" s="8" t="n">
        <v>0.1002</v>
      </c>
      <c r="E236" s="8" t="n">
        <v>7.3</v>
      </c>
      <c r="F236" s="8" t="n">
        <v>19.7</v>
      </c>
      <c r="G236" s="8" t="n">
        <v>616</v>
      </c>
    </row>
    <row r="237" customFormat="false" ht="15" hidden="false" customHeight="false" outlineLevel="0" collapsed="false">
      <c r="A237" s="8" t="s">
        <v>318</v>
      </c>
      <c r="B237" s="8" t="s">
        <v>322</v>
      </c>
      <c r="C237" s="8" t="s">
        <v>27</v>
      </c>
      <c r="D237" s="8" t="n">
        <v>0.054</v>
      </c>
      <c r="E237" s="8" t="n">
        <v>6.81</v>
      </c>
      <c r="F237" s="8" t="n">
        <v>15.1</v>
      </c>
      <c r="G237" s="8" t="n">
        <v>601</v>
      </c>
    </row>
    <row r="238" customFormat="false" ht="15" hidden="false" customHeight="false" outlineLevel="0" collapsed="false">
      <c r="A238" s="8" t="s">
        <v>323</v>
      </c>
      <c r="B238" s="8" t="s">
        <v>324</v>
      </c>
      <c r="C238" s="8" t="s">
        <v>27</v>
      </c>
      <c r="D238" s="8" t="n">
        <v>0.1129</v>
      </c>
      <c r="E238" s="8" t="n">
        <v>6.92</v>
      </c>
      <c r="F238" s="8" t="n">
        <v>12.4</v>
      </c>
      <c r="G238" s="8" t="n">
        <v>436</v>
      </c>
    </row>
    <row r="239" customFormat="false" ht="15" hidden="false" customHeight="false" outlineLevel="0" collapsed="false">
      <c r="A239" s="8" t="s">
        <v>323</v>
      </c>
      <c r="B239" s="8" t="s">
        <v>325</v>
      </c>
      <c r="C239" s="8" t="s">
        <v>27</v>
      </c>
      <c r="D239" s="8" t="n">
        <v>0.1035</v>
      </c>
      <c r="E239" s="8" t="n">
        <v>6.07</v>
      </c>
      <c r="F239" s="8" t="n">
        <v>19.1</v>
      </c>
      <c r="G239" s="8" t="n">
        <v>759</v>
      </c>
    </row>
    <row r="240" customFormat="false" ht="15" hidden="false" customHeight="false" outlineLevel="0" collapsed="false">
      <c r="A240" s="8" t="s">
        <v>323</v>
      </c>
      <c r="B240" s="8" t="s">
        <v>326</v>
      </c>
      <c r="C240" s="8" t="s">
        <v>29</v>
      </c>
      <c r="D240" s="8" t="n">
        <v>0.174</v>
      </c>
      <c r="E240" s="8" t="n">
        <v>7.41</v>
      </c>
      <c r="F240" s="8" t="n">
        <v>11.5</v>
      </c>
      <c r="G240" s="8" t="n">
        <v>852</v>
      </c>
    </row>
    <row r="241" customFormat="false" ht="15" hidden="false" customHeight="false" outlineLevel="0" collapsed="false">
      <c r="A241" s="8" t="s">
        <v>323</v>
      </c>
      <c r="B241" s="8" t="s">
        <v>327</v>
      </c>
      <c r="C241" s="8" t="s">
        <v>27</v>
      </c>
      <c r="D241" s="8" t="n">
        <v>0.1055</v>
      </c>
      <c r="E241" s="8" t="n">
        <v>6.55</v>
      </c>
      <c r="F241" s="8" t="n">
        <v>13.9</v>
      </c>
      <c r="G241" s="8" t="n">
        <v>762</v>
      </c>
    </row>
    <row r="242" customFormat="false" ht="15" hidden="false" customHeight="false" outlineLevel="0" collapsed="false">
      <c r="A242" s="8" t="s">
        <v>328</v>
      </c>
      <c r="B242" s="8" t="s">
        <v>329</v>
      </c>
      <c r="C242" s="8" t="s">
        <v>29</v>
      </c>
      <c r="D242" s="8" t="n">
        <v>0.1804</v>
      </c>
      <c r="E242" s="8" t="n">
        <v>8</v>
      </c>
      <c r="F242" s="8" t="n">
        <v>11.8</v>
      </c>
      <c r="G242" s="8" t="n">
        <v>862</v>
      </c>
    </row>
    <row r="243" customFormat="false" ht="15" hidden="false" customHeight="false" outlineLevel="0" collapsed="false">
      <c r="A243" s="8" t="s">
        <v>328</v>
      </c>
      <c r="B243" s="8" t="s">
        <v>330</v>
      </c>
      <c r="C243" s="8" t="s">
        <v>29</v>
      </c>
      <c r="D243" s="8" t="n">
        <v>0.0221</v>
      </c>
      <c r="E243" s="8" t="n">
        <v>6.51</v>
      </c>
      <c r="F243" s="8" t="n">
        <v>26.3</v>
      </c>
      <c r="G243" s="8" t="n">
        <v>685</v>
      </c>
    </row>
    <row r="244" customFormat="false" ht="15" hidden="false" customHeight="false" outlineLevel="0" collapsed="false">
      <c r="A244" s="8" t="s">
        <v>328</v>
      </c>
      <c r="B244" s="8" t="s">
        <v>331</v>
      </c>
      <c r="C244" s="8" t="s">
        <v>27</v>
      </c>
      <c r="D244" s="8" t="n">
        <v>0.0827</v>
      </c>
      <c r="E244" s="8" t="n">
        <v>8.72</v>
      </c>
      <c r="F244" s="8" t="n">
        <v>9.3</v>
      </c>
      <c r="G244" s="8" t="n">
        <v>522</v>
      </c>
    </row>
    <row r="245" customFormat="false" ht="15" hidden="false" customHeight="false" outlineLevel="0" collapsed="false">
      <c r="A245" s="8" t="s">
        <v>328</v>
      </c>
      <c r="B245" s="8" t="s">
        <v>332</v>
      </c>
      <c r="C245" s="8" t="s">
        <v>32</v>
      </c>
      <c r="D245" s="8" t="n">
        <v>0.2333</v>
      </c>
      <c r="E245" s="8" t="n">
        <v>7.33</v>
      </c>
      <c r="F245" s="8" t="n">
        <v>16.2</v>
      </c>
      <c r="G245" s="8" t="n">
        <v>972</v>
      </c>
    </row>
    <row r="246" customFormat="false" ht="15" hidden="false" customHeight="false" outlineLevel="0" collapsed="false">
      <c r="A246" s="8" t="s">
        <v>333</v>
      </c>
      <c r="B246" s="8" t="s">
        <v>334</v>
      </c>
      <c r="C246" s="8" t="s">
        <v>32</v>
      </c>
      <c r="D246" s="8" t="n">
        <v>0.1436</v>
      </c>
      <c r="E246" s="8" t="n">
        <v>6.44</v>
      </c>
      <c r="F246" s="8" t="n">
        <v>11.5</v>
      </c>
      <c r="G246" s="8" t="n">
        <v>652</v>
      </c>
    </row>
    <row r="247" customFormat="false" ht="15" hidden="false" customHeight="false" outlineLevel="0" collapsed="false">
      <c r="A247" s="8" t="s">
        <v>333</v>
      </c>
      <c r="B247" s="8" t="s">
        <v>335</v>
      </c>
      <c r="C247" s="8" t="s">
        <v>29</v>
      </c>
      <c r="D247" s="8" t="n">
        <v>0.2051</v>
      </c>
      <c r="E247" s="8" t="n">
        <v>6.61</v>
      </c>
      <c r="F247" s="8" t="n">
        <v>15.4</v>
      </c>
      <c r="G247" s="8" t="n">
        <v>928</v>
      </c>
    </row>
    <row r="248" customFormat="false" ht="15" hidden="false" customHeight="false" outlineLevel="0" collapsed="false">
      <c r="A248" s="8" t="s">
        <v>333</v>
      </c>
      <c r="B248" s="8" t="s">
        <v>336</v>
      </c>
      <c r="C248" s="8" t="s">
        <v>29</v>
      </c>
      <c r="D248" s="8" t="n">
        <v>0.1378</v>
      </c>
      <c r="E248" s="8" t="n">
        <v>7.1</v>
      </c>
      <c r="F248" s="8" t="n">
        <v>8.8</v>
      </c>
      <c r="G248" s="8" t="n">
        <v>852</v>
      </c>
    </row>
    <row r="249" customFormat="false" ht="15" hidden="false" customHeight="false" outlineLevel="0" collapsed="false">
      <c r="A249" s="8" t="s">
        <v>333</v>
      </c>
      <c r="B249" s="8" t="s">
        <v>337</v>
      </c>
      <c r="C249" s="8" t="s">
        <v>32</v>
      </c>
      <c r="D249" s="8" t="n">
        <v>0.214</v>
      </c>
      <c r="E249" s="8" t="n">
        <v>7.64</v>
      </c>
      <c r="F249" s="8" t="n">
        <v>10.8</v>
      </c>
      <c r="G249" s="8" t="n">
        <v>668</v>
      </c>
    </row>
    <row r="250" customFormat="false" ht="15" hidden="false" customHeight="false" outlineLevel="0" collapsed="false">
      <c r="A250" s="8" t="s">
        <v>338</v>
      </c>
      <c r="B250" s="8" t="s">
        <v>339</v>
      </c>
      <c r="C250" s="8" t="s">
        <v>32</v>
      </c>
      <c r="D250" s="8" t="n">
        <v>0.2367</v>
      </c>
      <c r="E250" s="8" t="n">
        <v>7.42</v>
      </c>
      <c r="F250" s="8" t="n">
        <v>17</v>
      </c>
      <c r="G250" s="8" t="n">
        <v>756</v>
      </c>
    </row>
    <row r="251" customFormat="false" ht="15" hidden="false" customHeight="false" outlineLevel="0" collapsed="false">
      <c r="A251" s="8" t="s">
        <v>338</v>
      </c>
      <c r="B251" s="8" t="s">
        <v>340</v>
      </c>
      <c r="C251" s="8" t="s">
        <v>32</v>
      </c>
      <c r="D251" s="8" t="n">
        <v>0.0883</v>
      </c>
      <c r="E251" s="8" t="n">
        <v>6.97</v>
      </c>
      <c r="F251" s="8" t="n">
        <v>16.4</v>
      </c>
      <c r="G251" s="8" t="n">
        <v>563</v>
      </c>
    </row>
    <row r="252" customFormat="false" ht="15" hidden="false" customHeight="false" outlineLevel="0" collapsed="false">
      <c r="A252" s="8" t="s">
        <v>338</v>
      </c>
      <c r="B252" s="8" t="s">
        <v>341</v>
      </c>
      <c r="C252" s="8" t="s">
        <v>29</v>
      </c>
      <c r="D252" s="8" t="n">
        <v>0.2309</v>
      </c>
      <c r="E252" s="8" t="n">
        <v>8.32</v>
      </c>
      <c r="F252" s="8" t="n">
        <v>20.7</v>
      </c>
      <c r="G252" s="8" t="n">
        <v>526</v>
      </c>
    </row>
    <row r="253" customFormat="false" ht="15" hidden="false" customHeight="false" outlineLevel="0" collapsed="false">
      <c r="A253" s="8" t="s">
        <v>338</v>
      </c>
      <c r="B253" s="8" t="s">
        <v>342</v>
      </c>
      <c r="C253" s="8" t="s">
        <v>27</v>
      </c>
      <c r="D253" s="8" t="n">
        <v>0.1479</v>
      </c>
      <c r="E253" s="8" t="n">
        <v>7.1</v>
      </c>
      <c r="F253" s="8" t="n">
        <v>25.2</v>
      </c>
      <c r="G253" s="8" t="n">
        <v>543</v>
      </c>
    </row>
    <row r="254" customFormat="false" ht="15" hidden="false" customHeight="false" outlineLevel="0" collapsed="false">
      <c r="A254" s="8" t="s">
        <v>343</v>
      </c>
      <c r="B254" s="8" t="s">
        <v>344</v>
      </c>
      <c r="C254" s="8" t="s">
        <v>32</v>
      </c>
      <c r="D254" s="8" t="n">
        <v>0.2539</v>
      </c>
      <c r="E254" s="8" t="n">
        <v>6.83</v>
      </c>
      <c r="F254" s="8" t="n">
        <v>17.6</v>
      </c>
      <c r="G254" s="8" t="n">
        <v>626</v>
      </c>
    </row>
    <row r="255" customFormat="false" ht="15" hidden="false" customHeight="false" outlineLevel="0" collapsed="false">
      <c r="A255" s="8" t="s">
        <v>343</v>
      </c>
      <c r="B255" s="8" t="s">
        <v>345</v>
      </c>
      <c r="C255" s="8" t="s">
        <v>32</v>
      </c>
      <c r="D255" s="8" t="n">
        <v>0.2737</v>
      </c>
      <c r="E255" s="8" t="n">
        <v>7.38</v>
      </c>
      <c r="F255" s="8" t="n">
        <v>19.9</v>
      </c>
      <c r="G255" s="8" t="n">
        <v>656</v>
      </c>
    </row>
    <row r="256" customFormat="false" ht="15" hidden="false" customHeight="false" outlineLevel="0" collapsed="false">
      <c r="A256" s="8" t="s">
        <v>343</v>
      </c>
      <c r="B256" s="8" t="s">
        <v>346</v>
      </c>
      <c r="C256" s="8" t="s">
        <v>32</v>
      </c>
      <c r="D256" s="8" t="n">
        <v>0.1849</v>
      </c>
      <c r="E256" s="8" t="n">
        <v>6.96</v>
      </c>
      <c r="F256" s="8" t="n">
        <v>21.1</v>
      </c>
      <c r="G256" s="8" t="n">
        <v>522</v>
      </c>
    </row>
    <row r="257" customFormat="false" ht="15" hidden="false" customHeight="false" outlineLevel="0" collapsed="false">
      <c r="A257" s="8" t="s">
        <v>343</v>
      </c>
      <c r="B257" s="8" t="s">
        <v>347</v>
      </c>
      <c r="C257" s="8" t="s">
        <v>29</v>
      </c>
      <c r="D257" s="8" t="n">
        <v>0.0956</v>
      </c>
      <c r="E257" s="8" t="n">
        <v>6.78</v>
      </c>
      <c r="F257" s="8" t="n">
        <v>18</v>
      </c>
      <c r="G257" s="8" t="n">
        <v>682</v>
      </c>
    </row>
    <row r="258" customFormat="false" ht="15" hidden="false" customHeight="false" outlineLevel="0" collapsed="false">
      <c r="A258" s="8" t="s">
        <v>348</v>
      </c>
      <c r="B258" s="8" t="s">
        <v>349</v>
      </c>
      <c r="C258" s="8" t="s">
        <v>29</v>
      </c>
      <c r="D258" s="8" t="n">
        <v>0.0615</v>
      </c>
      <c r="E258" s="8" t="n">
        <v>7.43</v>
      </c>
      <c r="F258" s="8" t="n">
        <v>14.9</v>
      </c>
      <c r="G258" s="8" t="n">
        <v>520</v>
      </c>
    </row>
    <row r="259" customFormat="false" ht="15" hidden="false" customHeight="false" outlineLevel="0" collapsed="false">
      <c r="A259" s="8" t="s">
        <v>348</v>
      </c>
      <c r="B259" s="8" t="s">
        <v>350</v>
      </c>
      <c r="C259" s="8" t="s">
        <v>29</v>
      </c>
      <c r="D259" s="8" t="n">
        <v>0.1873</v>
      </c>
      <c r="E259" s="8" t="n">
        <v>7.53</v>
      </c>
      <c r="F259" s="8" t="n">
        <v>24.3</v>
      </c>
      <c r="G259" s="8" t="n">
        <v>615</v>
      </c>
    </row>
    <row r="260" customFormat="false" ht="15" hidden="false" customHeight="false" outlineLevel="0" collapsed="false">
      <c r="A260" s="8" t="s">
        <v>348</v>
      </c>
      <c r="B260" s="8" t="s">
        <v>351</v>
      </c>
      <c r="C260" s="8" t="s">
        <v>27</v>
      </c>
      <c r="D260" s="8" t="n">
        <v>0.1556</v>
      </c>
      <c r="E260" s="8" t="n">
        <v>6.82</v>
      </c>
      <c r="F260" s="8" t="n">
        <v>12.8</v>
      </c>
      <c r="G260" s="8" t="n">
        <v>494</v>
      </c>
    </row>
    <row r="261" customFormat="false" ht="15" hidden="false" customHeight="false" outlineLevel="0" collapsed="false">
      <c r="A261" s="8" t="s">
        <v>348</v>
      </c>
      <c r="B261" s="8" t="s">
        <v>352</v>
      </c>
      <c r="C261" s="8" t="s">
        <v>27</v>
      </c>
      <c r="D261" s="8" t="n">
        <v>0.1923</v>
      </c>
      <c r="E261" s="8" t="n">
        <v>6.85</v>
      </c>
      <c r="F261" s="8" t="n">
        <v>18.3</v>
      </c>
      <c r="G261" s="8" t="n">
        <v>512</v>
      </c>
    </row>
    <row r="262" customFormat="false" ht="15" hidden="false" customHeight="false" outlineLevel="0" collapsed="false">
      <c r="A262" s="8" t="s">
        <v>353</v>
      </c>
      <c r="B262" s="8" t="s">
        <v>354</v>
      </c>
      <c r="C262" s="8" t="s">
        <v>27</v>
      </c>
      <c r="D262" s="8" t="n">
        <v>0.1635</v>
      </c>
      <c r="E262" s="8" t="n">
        <v>6.38</v>
      </c>
      <c r="F262" s="8" t="n">
        <v>11.1</v>
      </c>
      <c r="G262" s="8" t="n">
        <v>537</v>
      </c>
    </row>
    <row r="263" customFormat="false" ht="15" hidden="false" customHeight="false" outlineLevel="0" collapsed="false">
      <c r="A263" s="8" t="s">
        <v>353</v>
      </c>
      <c r="B263" s="8" t="s">
        <v>355</v>
      </c>
      <c r="C263" s="8" t="s">
        <v>27</v>
      </c>
      <c r="D263" s="8" t="n">
        <v>0.1267</v>
      </c>
      <c r="E263" s="8" t="n">
        <v>7.06</v>
      </c>
      <c r="F263" s="8" t="n">
        <v>8.2</v>
      </c>
      <c r="G263" s="8" t="n">
        <v>690</v>
      </c>
    </row>
    <row r="264" customFormat="false" ht="15" hidden="false" customHeight="false" outlineLevel="0" collapsed="false">
      <c r="A264" s="8" t="s">
        <v>353</v>
      </c>
      <c r="B264" s="8" t="s">
        <v>356</v>
      </c>
      <c r="C264" s="8" t="s">
        <v>27</v>
      </c>
      <c r="D264" s="8" t="n">
        <v>0.0954</v>
      </c>
      <c r="E264" s="8" t="n">
        <v>7.8</v>
      </c>
      <c r="F264" s="8" t="n">
        <v>18.3</v>
      </c>
      <c r="G264" s="8" t="n">
        <v>550</v>
      </c>
    </row>
    <row r="265" customFormat="false" ht="15" hidden="false" customHeight="false" outlineLevel="0" collapsed="false">
      <c r="A265" s="8" t="s">
        <v>353</v>
      </c>
      <c r="B265" s="8" t="s">
        <v>357</v>
      </c>
      <c r="C265" s="8" t="s">
        <v>29</v>
      </c>
      <c r="D265" s="8" t="n">
        <v>0.1551</v>
      </c>
      <c r="E265" s="8" t="n">
        <v>7.3</v>
      </c>
      <c r="F265" s="8" t="n">
        <v>15.5</v>
      </c>
      <c r="G265" s="8" t="n">
        <v>751</v>
      </c>
    </row>
    <row r="266" customFormat="false" ht="15" hidden="false" customHeight="false" outlineLevel="0" collapsed="false">
      <c r="A266" s="8" t="s">
        <v>358</v>
      </c>
      <c r="B266" s="8" t="s">
        <v>359</v>
      </c>
      <c r="C266" s="8" t="s">
        <v>29</v>
      </c>
      <c r="D266" s="8" t="n">
        <v>0.0645</v>
      </c>
      <c r="E266" s="8" t="n">
        <v>6.7</v>
      </c>
      <c r="F266" s="8" t="n">
        <v>12.7</v>
      </c>
      <c r="G266" s="8" t="n">
        <v>472</v>
      </c>
    </row>
    <row r="267" customFormat="false" ht="15" hidden="false" customHeight="false" outlineLevel="0" collapsed="false">
      <c r="A267" s="8" t="s">
        <v>358</v>
      </c>
      <c r="B267" s="8" t="s">
        <v>360</v>
      </c>
      <c r="C267" s="8" t="s">
        <v>27</v>
      </c>
      <c r="D267" s="8" t="n">
        <v>0.0891</v>
      </c>
      <c r="E267" s="8" t="n">
        <v>7.56</v>
      </c>
      <c r="F267" s="8" t="n">
        <v>20.3</v>
      </c>
      <c r="G267" s="8" t="n">
        <v>683</v>
      </c>
    </row>
    <row r="268" customFormat="false" ht="15" hidden="false" customHeight="false" outlineLevel="0" collapsed="false">
      <c r="A268" s="8" t="s">
        <v>358</v>
      </c>
      <c r="B268" s="8" t="s">
        <v>361</v>
      </c>
      <c r="C268" s="8" t="s">
        <v>27</v>
      </c>
      <c r="D268" s="8" t="n">
        <v>0.158</v>
      </c>
      <c r="E268" s="8" t="n">
        <v>7.26</v>
      </c>
      <c r="F268" s="8" t="n">
        <v>16.1</v>
      </c>
      <c r="G268" s="8" t="n">
        <v>617</v>
      </c>
    </row>
    <row r="269" customFormat="false" ht="15" hidden="false" customHeight="false" outlineLevel="0" collapsed="false">
      <c r="A269" s="8" t="s">
        <v>358</v>
      </c>
      <c r="B269" s="8" t="s">
        <v>362</v>
      </c>
      <c r="C269" s="8" t="s">
        <v>27</v>
      </c>
      <c r="D269" s="8" t="n">
        <v>0.1116</v>
      </c>
      <c r="E269" s="8" t="n">
        <v>7.13</v>
      </c>
      <c r="F269" s="8" t="n">
        <v>13</v>
      </c>
      <c r="G269" s="8" t="n">
        <v>683</v>
      </c>
    </row>
    <row r="270" customFormat="false" ht="15" hidden="false" customHeight="false" outlineLevel="0" collapsed="false">
      <c r="A270" s="8" t="s">
        <v>363</v>
      </c>
      <c r="B270" s="8" t="s">
        <v>364</v>
      </c>
      <c r="C270" s="8" t="s">
        <v>29</v>
      </c>
      <c r="D270" s="8" t="n">
        <v>0.0967</v>
      </c>
      <c r="E270" s="8" t="n">
        <v>7.4</v>
      </c>
      <c r="F270" s="8" t="n">
        <v>6.3</v>
      </c>
      <c r="G270" s="8" t="n">
        <v>679</v>
      </c>
    </row>
    <row r="271" customFormat="false" ht="15" hidden="false" customHeight="false" outlineLevel="0" collapsed="false">
      <c r="A271" s="8" t="s">
        <v>363</v>
      </c>
      <c r="B271" s="8" t="s">
        <v>365</v>
      </c>
      <c r="C271" s="8" t="s">
        <v>32</v>
      </c>
      <c r="D271" s="8" t="n">
        <v>0.2214</v>
      </c>
      <c r="E271" s="8" t="n">
        <v>7.4</v>
      </c>
      <c r="F271" s="8" t="n">
        <v>10.5</v>
      </c>
      <c r="G271" s="8" t="n">
        <v>992</v>
      </c>
    </row>
    <row r="272" customFormat="false" ht="15" hidden="false" customHeight="false" outlineLevel="0" collapsed="false">
      <c r="A272" s="8" t="s">
        <v>363</v>
      </c>
      <c r="B272" s="8" t="s">
        <v>366</v>
      </c>
      <c r="C272" s="8" t="s">
        <v>27</v>
      </c>
      <c r="D272" s="8" t="n">
        <v>0.2234</v>
      </c>
      <c r="E272" s="8" t="n">
        <v>7.7</v>
      </c>
      <c r="F272" s="8" t="n">
        <v>19.5</v>
      </c>
      <c r="G272" s="8" t="n">
        <v>744</v>
      </c>
    </row>
    <row r="273" customFormat="false" ht="15" hidden="false" customHeight="false" outlineLevel="0" collapsed="false">
      <c r="A273" s="8" t="s">
        <v>363</v>
      </c>
      <c r="B273" s="8" t="s">
        <v>367</v>
      </c>
      <c r="C273" s="8" t="s">
        <v>29</v>
      </c>
      <c r="D273" s="8" t="n">
        <v>0.3046</v>
      </c>
      <c r="E273" s="8" t="n">
        <v>7.36</v>
      </c>
      <c r="F273" s="8" t="n">
        <v>19.7</v>
      </c>
      <c r="G273" s="8" t="n">
        <v>536</v>
      </c>
    </row>
    <row r="274" customFormat="false" ht="15" hidden="false" customHeight="false" outlineLevel="0" collapsed="false">
      <c r="A274" s="8" t="s">
        <v>368</v>
      </c>
      <c r="B274" s="8" t="s">
        <v>369</v>
      </c>
      <c r="C274" s="8" t="s">
        <v>32</v>
      </c>
      <c r="D274" s="8" t="n">
        <v>0.1969</v>
      </c>
      <c r="E274" s="8" t="n">
        <v>5.95</v>
      </c>
      <c r="F274" s="8" t="n">
        <v>12.7</v>
      </c>
      <c r="G274" s="8" t="n">
        <v>838</v>
      </c>
    </row>
    <row r="275" customFormat="false" ht="15" hidden="false" customHeight="false" outlineLevel="0" collapsed="false">
      <c r="A275" s="8" t="s">
        <v>368</v>
      </c>
      <c r="B275" s="8" t="s">
        <v>370</v>
      </c>
      <c r="C275" s="8" t="s">
        <v>27</v>
      </c>
      <c r="D275" s="8" t="n">
        <v>0.0338</v>
      </c>
      <c r="E275" s="8" t="n">
        <v>7.34</v>
      </c>
      <c r="F275" s="8" t="n">
        <v>15.4</v>
      </c>
      <c r="G275" s="8" t="n">
        <v>640</v>
      </c>
    </row>
    <row r="276" customFormat="false" ht="15" hidden="false" customHeight="false" outlineLevel="0" collapsed="false">
      <c r="A276" s="8" t="s">
        <v>368</v>
      </c>
      <c r="B276" s="8" t="s">
        <v>371</v>
      </c>
      <c r="C276" s="8" t="s">
        <v>27</v>
      </c>
      <c r="D276" s="8" t="n">
        <v>0.1374</v>
      </c>
      <c r="E276" s="8" t="n">
        <v>7.44</v>
      </c>
      <c r="F276" s="8" t="n">
        <v>15.1</v>
      </c>
      <c r="G276" s="8" t="n">
        <v>198</v>
      </c>
    </row>
    <row r="277" customFormat="false" ht="15" hidden="false" customHeight="false" outlineLevel="0" collapsed="false">
      <c r="A277" s="8" t="s">
        <v>368</v>
      </c>
      <c r="B277" s="8" t="s">
        <v>372</v>
      </c>
      <c r="C277" s="8" t="s">
        <v>29</v>
      </c>
      <c r="D277" s="8" t="n">
        <v>0.1231</v>
      </c>
      <c r="E277" s="8" t="n">
        <v>6.21</v>
      </c>
      <c r="F277" s="8" t="n">
        <v>17.6</v>
      </c>
      <c r="G277" s="8" t="n">
        <v>704</v>
      </c>
    </row>
    <row r="278" customFormat="false" ht="15" hidden="false" customHeight="false" outlineLevel="0" collapsed="false">
      <c r="A278" s="8" t="s">
        <v>373</v>
      </c>
      <c r="B278" s="8" t="s">
        <v>374</v>
      </c>
      <c r="C278" s="8" t="s">
        <v>32</v>
      </c>
      <c r="D278" s="8" t="n">
        <v>0.2763</v>
      </c>
      <c r="E278" s="8" t="n">
        <v>7.1</v>
      </c>
      <c r="F278" s="8" t="n">
        <v>22.8</v>
      </c>
      <c r="G278" s="8" t="n">
        <v>652</v>
      </c>
    </row>
    <row r="279" customFormat="false" ht="15" hidden="false" customHeight="false" outlineLevel="0" collapsed="false">
      <c r="A279" s="8" t="s">
        <v>373</v>
      </c>
      <c r="B279" s="8" t="s">
        <v>375</v>
      </c>
      <c r="C279" s="8" t="s">
        <v>29</v>
      </c>
      <c r="D279" s="8" t="n">
        <v>0.1347</v>
      </c>
      <c r="E279" s="8" t="n">
        <v>7.42</v>
      </c>
      <c r="F279" s="8" t="n">
        <v>13.1</v>
      </c>
      <c r="G279" s="8" t="n">
        <v>686</v>
      </c>
    </row>
    <row r="280" customFormat="false" ht="15" hidden="false" customHeight="false" outlineLevel="0" collapsed="false">
      <c r="A280" s="8" t="s">
        <v>373</v>
      </c>
      <c r="B280" s="8" t="s">
        <v>376</v>
      </c>
      <c r="C280" s="8" t="s">
        <v>27</v>
      </c>
      <c r="D280" s="8" t="n">
        <v>0.0765</v>
      </c>
      <c r="E280" s="8" t="n">
        <v>7.1</v>
      </c>
      <c r="F280" s="8" t="n">
        <v>19.2</v>
      </c>
      <c r="G280" s="8" t="n">
        <v>862</v>
      </c>
    </row>
    <row r="281" customFormat="false" ht="15" hidden="false" customHeight="false" outlineLevel="0" collapsed="false">
      <c r="A281" s="8" t="s">
        <v>373</v>
      </c>
      <c r="B281" s="8" t="s">
        <v>377</v>
      </c>
      <c r="C281" s="8" t="s">
        <v>27</v>
      </c>
      <c r="D281" s="8" t="n">
        <v>0.1319</v>
      </c>
      <c r="E281" s="8" t="n">
        <v>7.76</v>
      </c>
      <c r="F281" s="8" t="n">
        <v>12.1</v>
      </c>
      <c r="G281" s="8" t="n">
        <v>615</v>
      </c>
    </row>
    <row r="282" customFormat="false" ht="15" hidden="false" customHeight="false" outlineLevel="0" collapsed="false">
      <c r="A282" s="8" t="s">
        <v>378</v>
      </c>
      <c r="B282" s="8" t="s">
        <v>379</v>
      </c>
      <c r="C282" s="8" t="s">
        <v>29</v>
      </c>
      <c r="D282" s="8" t="n">
        <v>0.1326</v>
      </c>
      <c r="E282" s="8" t="n">
        <v>6.51</v>
      </c>
      <c r="F282" s="8" t="n">
        <v>14.4</v>
      </c>
      <c r="G282" s="8" t="n">
        <v>531</v>
      </c>
    </row>
    <row r="283" customFormat="false" ht="15" hidden="false" customHeight="false" outlineLevel="0" collapsed="false">
      <c r="A283" s="8" t="s">
        <v>378</v>
      </c>
      <c r="B283" s="8" t="s">
        <v>380</v>
      </c>
      <c r="C283" s="8" t="s">
        <v>32</v>
      </c>
      <c r="D283" s="8" t="n">
        <v>0.2056</v>
      </c>
      <c r="E283" s="8" t="n">
        <v>7.26</v>
      </c>
      <c r="F283" s="8" t="n">
        <v>14.5</v>
      </c>
      <c r="G283" s="8" t="n">
        <v>789</v>
      </c>
    </row>
    <row r="284" customFormat="false" ht="15" hidden="false" customHeight="false" outlineLevel="0" collapsed="false">
      <c r="A284" s="8" t="s">
        <v>378</v>
      </c>
      <c r="B284" s="8" t="s">
        <v>381</v>
      </c>
      <c r="C284" s="8" t="s">
        <v>29</v>
      </c>
      <c r="D284" s="8" t="n">
        <v>0.0839</v>
      </c>
      <c r="E284" s="8" t="n">
        <v>7.66</v>
      </c>
      <c r="F284" s="8" t="n">
        <v>12.6</v>
      </c>
      <c r="G284" s="8" t="n">
        <v>898</v>
      </c>
    </row>
    <row r="285" customFormat="false" ht="15" hidden="false" customHeight="false" outlineLevel="0" collapsed="false">
      <c r="A285" s="8" t="s">
        <v>378</v>
      </c>
      <c r="B285" s="8" t="s">
        <v>382</v>
      </c>
      <c r="C285" s="8" t="s">
        <v>27</v>
      </c>
      <c r="D285" s="8" t="n">
        <v>0.1377</v>
      </c>
      <c r="E285" s="8" t="n">
        <v>6.43</v>
      </c>
      <c r="F285" s="8" t="n">
        <v>19.7</v>
      </c>
      <c r="G285" s="8" t="n">
        <v>518</v>
      </c>
    </row>
    <row r="286" customFormat="false" ht="15" hidden="false" customHeight="false" outlineLevel="0" collapsed="false">
      <c r="A286" s="8" t="s">
        <v>383</v>
      </c>
      <c r="B286" s="8" t="s">
        <v>384</v>
      </c>
      <c r="C286" s="8" t="s">
        <v>27</v>
      </c>
      <c r="D286" s="8" t="n">
        <v>0.1956</v>
      </c>
      <c r="E286" s="8" t="n">
        <v>7.53</v>
      </c>
      <c r="F286" s="8" t="n">
        <v>12.7</v>
      </c>
      <c r="G286" s="8" t="n">
        <v>529</v>
      </c>
    </row>
    <row r="287" customFormat="false" ht="15" hidden="false" customHeight="false" outlineLevel="0" collapsed="false">
      <c r="A287" s="8" t="s">
        <v>383</v>
      </c>
      <c r="B287" s="8" t="s">
        <v>385</v>
      </c>
      <c r="C287" s="8" t="s">
        <v>29</v>
      </c>
      <c r="D287" s="8" t="n">
        <v>0.1419</v>
      </c>
      <c r="E287" s="8" t="n">
        <v>7.33</v>
      </c>
      <c r="F287" s="8" t="n">
        <v>7.9</v>
      </c>
      <c r="G287" s="8" t="n">
        <v>302</v>
      </c>
    </row>
    <row r="288" customFormat="false" ht="15" hidden="false" customHeight="false" outlineLevel="0" collapsed="false">
      <c r="A288" s="8" t="s">
        <v>383</v>
      </c>
      <c r="B288" s="8" t="s">
        <v>386</v>
      </c>
      <c r="C288" s="8" t="s">
        <v>29</v>
      </c>
      <c r="D288" s="8" t="n">
        <v>0.174</v>
      </c>
      <c r="E288" s="8" t="n">
        <v>6.7</v>
      </c>
      <c r="F288" s="8" t="n">
        <v>21.3</v>
      </c>
      <c r="G288" s="8" t="n">
        <v>359</v>
      </c>
    </row>
    <row r="289" customFormat="false" ht="15" hidden="false" customHeight="false" outlineLevel="0" collapsed="false">
      <c r="A289" s="8" t="s">
        <v>383</v>
      </c>
      <c r="B289" s="8" t="s">
        <v>387</v>
      </c>
      <c r="C289" s="8" t="s">
        <v>29</v>
      </c>
      <c r="D289" s="8" t="n">
        <v>0.1577</v>
      </c>
      <c r="E289" s="8" t="n">
        <v>7.2</v>
      </c>
      <c r="F289" s="8" t="n">
        <v>15.6</v>
      </c>
      <c r="G289" s="8" t="n">
        <v>714</v>
      </c>
    </row>
    <row r="290" customFormat="false" ht="15" hidden="false" customHeight="false" outlineLevel="0" collapsed="false">
      <c r="A290" s="8" t="s">
        <v>388</v>
      </c>
      <c r="B290" s="8" t="s">
        <v>389</v>
      </c>
      <c r="C290" s="8" t="s">
        <v>32</v>
      </c>
      <c r="D290" s="8" t="n">
        <v>0.2792</v>
      </c>
      <c r="E290" s="8" t="n">
        <v>7.49</v>
      </c>
      <c r="F290" s="8" t="n">
        <v>11.3</v>
      </c>
      <c r="G290" s="8" t="n">
        <v>822</v>
      </c>
    </row>
    <row r="291" customFormat="false" ht="15" hidden="false" customHeight="false" outlineLevel="0" collapsed="false">
      <c r="A291" s="8" t="s">
        <v>388</v>
      </c>
      <c r="B291" s="8" t="s">
        <v>390</v>
      </c>
      <c r="C291" s="8" t="s">
        <v>27</v>
      </c>
      <c r="D291" s="8" t="n">
        <v>0.2264</v>
      </c>
      <c r="E291" s="8" t="n">
        <v>7.54</v>
      </c>
      <c r="F291" s="8" t="n">
        <v>14.2</v>
      </c>
      <c r="G291" s="8" t="n">
        <v>712</v>
      </c>
    </row>
    <row r="292" customFormat="false" ht="15" hidden="false" customHeight="false" outlineLevel="0" collapsed="false">
      <c r="A292" s="8" t="s">
        <v>388</v>
      </c>
      <c r="B292" s="8" t="s">
        <v>391</v>
      </c>
      <c r="C292" s="8" t="s">
        <v>29</v>
      </c>
      <c r="D292" s="8" t="n">
        <v>0.1645</v>
      </c>
      <c r="E292" s="8" t="n">
        <v>6.54</v>
      </c>
      <c r="F292" s="8" t="n">
        <v>22.3</v>
      </c>
      <c r="G292" s="8" t="n">
        <v>616</v>
      </c>
    </row>
    <row r="293" customFormat="false" ht="15" hidden="false" customHeight="false" outlineLevel="0" collapsed="false">
      <c r="A293" s="8" t="s">
        <v>388</v>
      </c>
      <c r="B293" s="8" t="s">
        <v>392</v>
      </c>
      <c r="C293" s="8" t="s">
        <v>27</v>
      </c>
      <c r="D293" s="8" t="n">
        <v>0.2676</v>
      </c>
      <c r="E293" s="8" t="n">
        <v>7.09</v>
      </c>
      <c r="F293" s="8" t="n">
        <v>20.1</v>
      </c>
      <c r="G293" s="8" t="n">
        <v>562</v>
      </c>
    </row>
    <row r="294" customFormat="false" ht="15" hidden="false" customHeight="false" outlineLevel="0" collapsed="false">
      <c r="A294" s="8" t="s">
        <v>393</v>
      </c>
      <c r="B294" s="8" t="s">
        <v>394</v>
      </c>
      <c r="C294" s="8" t="s">
        <v>29</v>
      </c>
      <c r="D294" s="8" t="n">
        <v>0.245</v>
      </c>
      <c r="E294" s="8" t="n">
        <v>7.39</v>
      </c>
      <c r="F294" s="8" t="n">
        <v>14.9</v>
      </c>
      <c r="G294" s="8" t="n">
        <v>760</v>
      </c>
    </row>
    <row r="295" customFormat="false" ht="15" hidden="false" customHeight="false" outlineLevel="0" collapsed="false">
      <c r="A295" s="8" t="s">
        <v>393</v>
      </c>
      <c r="B295" s="8" t="s">
        <v>395</v>
      </c>
      <c r="C295" s="8" t="s">
        <v>27</v>
      </c>
      <c r="D295" s="8" t="n">
        <v>0.1156</v>
      </c>
      <c r="E295" s="8" t="n">
        <v>7.37</v>
      </c>
      <c r="F295" s="8" t="n">
        <v>18.2</v>
      </c>
      <c r="G295" s="8" t="n">
        <v>209</v>
      </c>
    </row>
    <row r="296" customFormat="false" ht="15" hidden="false" customHeight="false" outlineLevel="0" collapsed="false">
      <c r="A296" s="8" t="s">
        <v>393</v>
      </c>
      <c r="B296" s="8" t="s">
        <v>396</v>
      </c>
      <c r="C296" s="8" t="s">
        <v>29</v>
      </c>
      <c r="D296" s="8" t="n">
        <v>0.21</v>
      </c>
      <c r="E296" s="8" t="n">
        <v>6.49</v>
      </c>
      <c r="F296" s="8" t="n">
        <v>15.2</v>
      </c>
      <c r="G296" s="8" t="n">
        <v>494</v>
      </c>
    </row>
    <row r="297" customFormat="false" ht="15" hidden="false" customHeight="false" outlineLevel="0" collapsed="false">
      <c r="A297" s="8" t="s">
        <v>393</v>
      </c>
      <c r="B297" s="8" t="s">
        <v>397</v>
      </c>
      <c r="C297" s="8" t="s">
        <v>29</v>
      </c>
      <c r="D297" s="8" t="n">
        <v>0.1716</v>
      </c>
      <c r="E297" s="8" t="n">
        <v>6.92</v>
      </c>
      <c r="F297" s="8" t="n">
        <v>17.4</v>
      </c>
      <c r="G297" s="8" t="n">
        <v>423</v>
      </c>
    </row>
    <row r="298" customFormat="false" ht="15" hidden="false" customHeight="false" outlineLevel="0" collapsed="false">
      <c r="A298" s="8" t="s">
        <v>398</v>
      </c>
      <c r="B298" s="8" t="s">
        <v>399</v>
      </c>
      <c r="C298" s="8" t="s">
        <v>29</v>
      </c>
      <c r="D298" s="8" t="n">
        <v>0</v>
      </c>
      <c r="E298" s="8" t="n">
        <v>6.4</v>
      </c>
      <c r="F298" s="8" t="n">
        <v>18.7</v>
      </c>
      <c r="G298" s="8" t="n">
        <v>466</v>
      </c>
    </row>
    <row r="299" customFormat="false" ht="15" hidden="false" customHeight="false" outlineLevel="0" collapsed="false">
      <c r="A299" s="8" t="s">
        <v>398</v>
      </c>
      <c r="B299" s="8" t="s">
        <v>400</v>
      </c>
      <c r="C299" s="8" t="s">
        <v>27</v>
      </c>
      <c r="D299" s="8" t="n">
        <v>0.0684</v>
      </c>
      <c r="E299" s="8" t="n">
        <v>7.3</v>
      </c>
      <c r="F299" s="8" t="n">
        <v>17.3</v>
      </c>
      <c r="G299" s="8" t="n">
        <v>555</v>
      </c>
    </row>
    <row r="300" customFormat="false" ht="15" hidden="false" customHeight="false" outlineLevel="0" collapsed="false">
      <c r="A300" s="8" t="s">
        <v>398</v>
      </c>
      <c r="B300" s="8" t="s">
        <v>401</v>
      </c>
      <c r="C300" s="8" t="s">
        <v>27</v>
      </c>
      <c r="D300" s="8" t="n">
        <v>0.1598</v>
      </c>
      <c r="E300" s="8" t="n">
        <v>7.38</v>
      </c>
      <c r="F300" s="8" t="n">
        <v>15.9</v>
      </c>
      <c r="G300" s="8" t="n">
        <v>1006</v>
      </c>
    </row>
    <row r="301" customFormat="false" ht="15" hidden="false" customHeight="false" outlineLevel="0" collapsed="false">
      <c r="A301" s="8" t="s">
        <v>398</v>
      </c>
      <c r="B301" s="8" t="s">
        <v>402</v>
      </c>
      <c r="C301" s="8" t="s">
        <v>27</v>
      </c>
      <c r="D301" s="8" t="n">
        <v>0.0128</v>
      </c>
      <c r="E301" s="8" t="n">
        <v>7.91</v>
      </c>
      <c r="F301" s="8" t="n">
        <v>5</v>
      </c>
      <c r="G301" s="8" t="n">
        <v>654</v>
      </c>
    </row>
    <row r="302" customFormat="false" ht="15" hidden="false" customHeight="false" outlineLevel="0" collapsed="false">
      <c r="A302" s="8" t="s">
        <v>403</v>
      </c>
      <c r="B302" s="8" t="s">
        <v>404</v>
      </c>
      <c r="C302" s="8" t="s">
        <v>32</v>
      </c>
      <c r="D302" s="8" t="n">
        <v>0.2403</v>
      </c>
      <c r="E302" s="8" t="n">
        <v>7.21</v>
      </c>
      <c r="F302" s="8" t="n">
        <v>13.9</v>
      </c>
      <c r="G302" s="8" t="n">
        <v>661</v>
      </c>
    </row>
    <row r="303" customFormat="false" ht="15" hidden="false" customHeight="false" outlineLevel="0" collapsed="false">
      <c r="A303" s="8" t="s">
        <v>403</v>
      </c>
      <c r="B303" s="8" t="s">
        <v>405</v>
      </c>
      <c r="C303" s="8" t="s">
        <v>27</v>
      </c>
      <c r="D303" s="8" t="n">
        <v>0.0484</v>
      </c>
      <c r="E303" s="8" t="n">
        <v>6.09</v>
      </c>
      <c r="F303" s="8" t="n">
        <v>21.3</v>
      </c>
      <c r="G303" s="8" t="n">
        <v>365</v>
      </c>
    </row>
    <row r="304" customFormat="false" ht="15" hidden="false" customHeight="false" outlineLevel="0" collapsed="false">
      <c r="A304" s="8" t="s">
        <v>403</v>
      </c>
      <c r="B304" s="8" t="s">
        <v>406</v>
      </c>
      <c r="C304" s="8" t="s">
        <v>27</v>
      </c>
      <c r="D304" s="8" t="n">
        <v>0.0625</v>
      </c>
      <c r="E304" s="8" t="n">
        <v>6.78</v>
      </c>
      <c r="F304" s="8" t="n">
        <v>15.2</v>
      </c>
      <c r="G304" s="8" t="n">
        <v>1045</v>
      </c>
    </row>
    <row r="305" customFormat="false" ht="15" hidden="false" customHeight="false" outlineLevel="0" collapsed="false">
      <c r="A305" s="8" t="s">
        <v>403</v>
      </c>
      <c r="B305" s="8" t="s">
        <v>407</v>
      </c>
      <c r="C305" s="8" t="s">
        <v>27</v>
      </c>
      <c r="D305" s="8" t="n">
        <v>0.0416</v>
      </c>
      <c r="E305" s="8" t="n">
        <v>7.37</v>
      </c>
      <c r="F305" s="8" t="n">
        <v>16.3</v>
      </c>
      <c r="G305" s="8" t="n">
        <v>476</v>
      </c>
    </row>
    <row r="306" customFormat="false" ht="15" hidden="false" customHeight="false" outlineLevel="0" collapsed="false">
      <c r="A306" s="8" t="s">
        <v>408</v>
      </c>
      <c r="B306" s="8" t="s">
        <v>409</v>
      </c>
      <c r="C306" s="8" t="s">
        <v>32</v>
      </c>
      <c r="D306" s="8" t="n">
        <v>0.3189</v>
      </c>
      <c r="E306" s="8" t="n">
        <v>6.53</v>
      </c>
      <c r="F306" s="8" t="n">
        <v>14.1</v>
      </c>
      <c r="G306" s="8" t="n">
        <v>623</v>
      </c>
    </row>
    <row r="307" customFormat="false" ht="15" hidden="false" customHeight="false" outlineLevel="0" collapsed="false">
      <c r="A307" s="8" t="s">
        <v>408</v>
      </c>
      <c r="B307" s="8" t="s">
        <v>410</v>
      </c>
      <c r="C307" s="8" t="s">
        <v>27</v>
      </c>
      <c r="D307" s="8" t="n">
        <v>0.1193</v>
      </c>
      <c r="E307" s="8" t="n">
        <v>7.39</v>
      </c>
      <c r="F307" s="8" t="n">
        <v>17.2</v>
      </c>
      <c r="G307" s="8" t="n">
        <v>480</v>
      </c>
    </row>
    <row r="308" customFormat="false" ht="15" hidden="false" customHeight="false" outlineLevel="0" collapsed="false">
      <c r="A308" s="8" t="s">
        <v>408</v>
      </c>
      <c r="B308" s="8" t="s">
        <v>411</v>
      </c>
      <c r="C308" s="8" t="s">
        <v>29</v>
      </c>
      <c r="D308" s="8" t="n">
        <v>0.1844</v>
      </c>
      <c r="E308" s="8" t="n">
        <v>7.09</v>
      </c>
      <c r="F308" s="8" t="n">
        <v>7</v>
      </c>
      <c r="G308" s="8" t="n">
        <v>776</v>
      </c>
    </row>
    <row r="309" customFormat="false" ht="15" hidden="false" customHeight="false" outlineLevel="0" collapsed="false">
      <c r="A309" s="8" t="s">
        <v>408</v>
      </c>
      <c r="B309" s="8" t="s">
        <v>412</v>
      </c>
      <c r="C309" s="8" t="s">
        <v>29</v>
      </c>
      <c r="D309" s="8" t="n">
        <v>0.0879</v>
      </c>
      <c r="E309" s="8" t="n">
        <v>6.35</v>
      </c>
      <c r="F309" s="8" t="n">
        <v>18.7</v>
      </c>
      <c r="G309" s="8" t="n">
        <v>557</v>
      </c>
    </row>
    <row r="310" customFormat="false" ht="15" hidden="false" customHeight="false" outlineLevel="0" collapsed="false">
      <c r="A310" s="8" t="s">
        <v>413</v>
      </c>
      <c r="B310" s="8" t="s">
        <v>414</v>
      </c>
      <c r="C310" s="8" t="s">
        <v>27</v>
      </c>
      <c r="D310" s="8" t="n">
        <v>0.1634</v>
      </c>
      <c r="E310" s="8" t="n">
        <v>7.42</v>
      </c>
      <c r="F310" s="8" t="n">
        <v>18.6</v>
      </c>
      <c r="G310" s="8" t="n">
        <v>882</v>
      </c>
    </row>
    <row r="311" customFormat="false" ht="15" hidden="false" customHeight="false" outlineLevel="0" collapsed="false">
      <c r="A311" s="8" t="s">
        <v>413</v>
      </c>
      <c r="B311" s="8" t="s">
        <v>415</v>
      </c>
      <c r="C311" s="8" t="s">
        <v>27</v>
      </c>
      <c r="D311" s="8" t="n">
        <v>0.0308</v>
      </c>
      <c r="E311" s="8" t="n">
        <v>8.16</v>
      </c>
      <c r="F311" s="8" t="n">
        <v>10.4</v>
      </c>
      <c r="G311" s="8" t="n">
        <v>654</v>
      </c>
    </row>
    <row r="312" customFormat="false" ht="15" hidden="false" customHeight="false" outlineLevel="0" collapsed="false">
      <c r="A312" s="8" t="s">
        <v>413</v>
      </c>
      <c r="B312" s="8" t="s">
        <v>416</v>
      </c>
      <c r="C312" s="8" t="s">
        <v>27</v>
      </c>
      <c r="D312" s="8" t="n">
        <v>0.0447</v>
      </c>
      <c r="E312" s="8" t="n">
        <v>7.66</v>
      </c>
      <c r="F312" s="8" t="n">
        <v>14.3</v>
      </c>
      <c r="G312" s="8" t="n">
        <v>446</v>
      </c>
    </row>
    <row r="313" customFormat="false" ht="15" hidden="false" customHeight="false" outlineLevel="0" collapsed="false">
      <c r="A313" s="8" t="s">
        <v>413</v>
      </c>
      <c r="B313" s="8" t="s">
        <v>417</v>
      </c>
      <c r="C313" s="8" t="s">
        <v>29</v>
      </c>
      <c r="D313" s="8" t="n">
        <v>0.2908</v>
      </c>
      <c r="E313" s="8" t="n">
        <v>7.02</v>
      </c>
      <c r="F313" s="8" t="n">
        <v>12.4</v>
      </c>
      <c r="G313" s="8" t="n">
        <v>805</v>
      </c>
    </row>
    <row r="314" customFormat="false" ht="15" hidden="false" customHeight="false" outlineLevel="0" collapsed="false">
      <c r="A314" s="8" t="s">
        <v>418</v>
      </c>
      <c r="B314" s="8" t="s">
        <v>419</v>
      </c>
      <c r="C314" s="8" t="s">
        <v>29</v>
      </c>
      <c r="D314" s="8" t="n">
        <v>0.1572</v>
      </c>
      <c r="E314" s="8" t="n">
        <v>7.57</v>
      </c>
      <c r="F314" s="8" t="n">
        <v>13.4</v>
      </c>
      <c r="G314" s="8" t="n">
        <v>984</v>
      </c>
    </row>
    <row r="315" customFormat="false" ht="15" hidden="false" customHeight="false" outlineLevel="0" collapsed="false">
      <c r="A315" s="8" t="s">
        <v>418</v>
      </c>
      <c r="B315" s="8" t="s">
        <v>420</v>
      </c>
      <c r="C315" s="8" t="s">
        <v>27</v>
      </c>
      <c r="D315" s="8" t="n">
        <v>0.141</v>
      </c>
      <c r="E315" s="8" t="n">
        <v>6.5</v>
      </c>
      <c r="F315" s="8" t="n">
        <v>12.5</v>
      </c>
      <c r="G315" s="8" t="n">
        <v>561</v>
      </c>
    </row>
    <row r="316" customFormat="false" ht="15" hidden="false" customHeight="false" outlineLevel="0" collapsed="false">
      <c r="A316" s="8" t="s">
        <v>418</v>
      </c>
      <c r="B316" s="8" t="s">
        <v>421</v>
      </c>
      <c r="C316" s="8" t="s">
        <v>32</v>
      </c>
      <c r="D316" s="8" t="n">
        <v>0.2717</v>
      </c>
      <c r="E316" s="8" t="n">
        <v>7.65</v>
      </c>
      <c r="F316" s="8" t="n">
        <v>10.5</v>
      </c>
      <c r="G316" s="8" t="n">
        <v>892</v>
      </c>
    </row>
    <row r="317" customFormat="false" ht="15" hidden="false" customHeight="false" outlineLevel="0" collapsed="false">
      <c r="A317" s="8" t="s">
        <v>418</v>
      </c>
      <c r="B317" s="8" t="s">
        <v>422</v>
      </c>
      <c r="C317" s="8" t="s">
        <v>32</v>
      </c>
      <c r="D317" s="8" t="n">
        <v>0.3131</v>
      </c>
      <c r="E317" s="8" t="n">
        <v>7.15</v>
      </c>
      <c r="F317" s="8" t="n">
        <v>15.8</v>
      </c>
      <c r="G317" s="8" t="n">
        <v>529</v>
      </c>
    </row>
    <row r="318" customFormat="false" ht="15" hidden="false" customHeight="false" outlineLevel="0" collapsed="false">
      <c r="A318" s="8" t="s">
        <v>423</v>
      </c>
      <c r="B318" s="8" t="s">
        <v>424</v>
      </c>
      <c r="C318" s="8" t="s">
        <v>27</v>
      </c>
      <c r="D318" s="8" t="n">
        <v>0.1376</v>
      </c>
      <c r="E318" s="8" t="n">
        <v>7.14</v>
      </c>
      <c r="F318" s="8" t="n">
        <v>15</v>
      </c>
      <c r="G318" s="8" t="n">
        <v>636</v>
      </c>
    </row>
    <row r="319" customFormat="false" ht="15" hidden="false" customHeight="false" outlineLevel="0" collapsed="false">
      <c r="A319" s="8" t="s">
        <v>423</v>
      </c>
      <c r="B319" s="8" t="s">
        <v>425</v>
      </c>
      <c r="C319" s="8" t="s">
        <v>32</v>
      </c>
      <c r="D319" s="8" t="n">
        <v>0.1967</v>
      </c>
      <c r="E319" s="8" t="n">
        <v>6.75</v>
      </c>
      <c r="F319" s="8" t="n">
        <v>30</v>
      </c>
      <c r="G319" s="8" t="n">
        <v>526</v>
      </c>
    </row>
    <row r="320" customFormat="false" ht="15" hidden="false" customHeight="false" outlineLevel="0" collapsed="false">
      <c r="A320" s="8" t="s">
        <v>423</v>
      </c>
      <c r="B320" s="8" t="s">
        <v>426</v>
      </c>
      <c r="C320" s="8" t="s">
        <v>32</v>
      </c>
      <c r="D320" s="8" t="n">
        <v>0.14</v>
      </c>
      <c r="E320" s="8" t="n">
        <v>6.85</v>
      </c>
      <c r="F320" s="8" t="n">
        <v>17.7</v>
      </c>
      <c r="G320" s="8" t="n">
        <v>617</v>
      </c>
    </row>
    <row r="321" customFormat="false" ht="15" hidden="false" customHeight="false" outlineLevel="0" collapsed="false">
      <c r="A321" s="8" t="s">
        <v>423</v>
      </c>
      <c r="B321" s="8" t="s">
        <v>427</v>
      </c>
      <c r="C321" s="8" t="s">
        <v>27</v>
      </c>
      <c r="D321" s="8" t="n">
        <v>0.054</v>
      </c>
      <c r="E321" s="8" t="n">
        <v>6.73</v>
      </c>
      <c r="F321" s="8" t="n">
        <v>15.1</v>
      </c>
      <c r="G321" s="8" t="n">
        <v>804</v>
      </c>
    </row>
    <row r="322" customFormat="false" ht="15" hidden="false" customHeight="false" outlineLevel="0" collapsed="false">
      <c r="A322" s="8" t="s">
        <v>428</v>
      </c>
      <c r="B322" s="8" t="s">
        <v>429</v>
      </c>
      <c r="C322" s="8" t="s">
        <v>27</v>
      </c>
      <c r="D322" s="8" t="n">
        <v>0.1689</v>
      </c>
      <c r="E322" s="8" t="n">
        <v>7.12</v>
      </c>
      <c r="F322" s="8" t="n">
        <v>11.9</v>
      </c>
      <c r="G322" s="8" t="n">
        <v>751</v>
      </c>
    </row>
    <row r="323" customFormat="false" ht="15" hidden="false" customHeight="false" outlineLevel="0" collapsed="false">
      <c r="A323" s="8" t="s">
        <v>428</v>
      </c>
      <c r="B323" s="8" t="s">
        <v>430</v>
      </c>
      <c r="C323" s="8" t="s">
        <v>27</v>
      </c>
      <c r="D323" s="8" t="n">
        <v>0.0782</v>
      </c>
      <c r="E323" s="8" t="n">
        <v>6.88</v>
      </c>
      <c r="F323" s="8" t="n">
        <v>23.5</v>
      </c>
      <c r="G323" s="8" t="n">
        <v>914</v>
      </c>
    </row>
    <row r="324" customFormat="false" ht="15" hidden="false" customHeight="false" outlineLevel="0" collapsed="false">
      <c r="A324" s="8" t="s">
        <v>428</v>
      </c>
      <c r="B324" s="8" t="s">
        <v>431</v>
      </c>
      <c r="C324" s="8" t="s">
        <v>27</v>
      </c>
      <c r="D324" s="8" t="n">
        <v>0.0091</v>
      </c>
      <c r="E324" s="8" t="n">
        <v>6.97</v>
      </c>
      <c r="F324" s="8" t="n">
        <v>13.2</v>
      </c>
      <c r="G324" s="8" t="n">
        <v>825</v>
      </c>
    </row>
    <row r="325" customFormat="false" ht="15" hidden="false" customHeight="false" outlineLevel="0" collapsed="false">
      <c r="A325" s="8" t="s">
        <v>428</v>
      </c>
      <c r="B325" s="8" t="s">
        <v>432</v>
      </c>
      <c r="C325" s="8" t="s">
        <v>29</v>
      </c>
      <c r="D325" s="8" t="n">
        <v>0.3587</v>
      </c>
      <c r="E325" s="8" t="n">
        <v>6.14</v>
      </c>
      <c r="F325" s="8" t="n">
        <v>15.1</v>
      </c>
      <c r="G325" s="8" t="n">
        <v>707</v>
      </c>
    </row>
    <row r="326" customFormat="false" ht="15" hidden="false" customHeight="false" outlineLevel="0" collapsed="false">
      <c r="A326" s="8" t="s">
        <v>433</v>
      </c>
      <c r="B326" s="8" t="s">
        <v>434</v>
      </c>
      <c r="C326" s="8" t="s">
        <v>29</v>
      </c>
      <c r="D326" s="8" t="n">
        <v>0.114</v>
      </c>
      <c r="E326" s="8" t="n">
        <v>7.84</v>
      </c>
      <c r="F326" s="8" t="n">
        <v>15.7</v>
      </c>
      <c r="G326" s="8" t="n">
        <v>818</v>
      </c>
    </row>
    <row r="327" customFormat="false" ht="15" hidden="false" customHeight="false" outlineLevel="0" collapsed="false">
      <c r="A327" s="8" t="s">
        <v>433</v>
      </c>
      <c r="B327" s="8" t="s">
        <v>435</v>
      </c>
      <c r="C327" s="8" t="s">
        <v>27</v>
      </c>
      <c r="D327" s="8" t="n">
        <v>0.2003</v>
      </c>
      <c r="E327" s="8" t="n">
        <v>7.03</v>
      </c>
      <c r="F327" s="8" t="n">
        <v>11.1</v>
      </c>
      <c r="G327" s="8" t="n">
        <v>693</v>
      </c>
    </row>
    <row r="328" customFormat="false" ht="15" hidden="false" customHeight="false" outlineLevel="0" collapsed="false">
      <c r="A328" s="8" t="s">
        <v>433</v>
      </c>
      <c r="B328" s="8" t="s">
        <v>436</v>
      </c>
      <c r="C328" s="8" t="s">
        <v>27</v>
      </c>
      <c r="D328" s="8" t="n">
        <v>0.1671</v>
      </c>
      <c r="E328" s="8" t="n">
        <v>7.97</v>
      </c>
      <c r="F328" s="8" t="n">
        <v>10.9</v>
      </c>
      <c r="G328" s="8" t="n">
        <v>717</v>
      </c>
    </row>
    <row r="329" customFormat="false" ht="15" hidden="false" customHeight="false" outlineLevel="0" collapsed="false">
      <c r="A329" s="8" t="s">
        <v>433</v>
      </c>
      <c r="B329" s="8" t="s">
        <v>437</v>
      </c>
      <c r="C329" s="8" t="s">
        <v>27</v>
      </c>
      <c r="D329" s="8" t="n">
        <v>0.0533</v>
      </c>
      <c r="E329" s="8" t="n">
        <v>7.45</v>
      </c>
      <c r="F329" s="8" t="n">
        <v>12.5</v>
      </c>
      <c r="G329" s="8" t="n">
        <v>377</v>
      </c>
    </row>
    <row r="330" customFormat="false" ht="15" hidden="false" customHeight="false" outlineLevel="0" collapsed="false">
      <c r="A330" s="8" t="s">
        <v>438</v>
      </c>
      <c r="B330" s="8" t="s">
        <v>439</v>
      </c>
      <c r="C330" s="8" t="s">
        <v>27</v>
      </c>
      <c r="D330" s="8" t="n">
        <v>0.0875</v>
      </c>
      <c r="E330" s="8" t="n">
        <v>7.23</v>
      </c>
      <c r="F330" s="8" t="n">
        <v>8.5</v>
      </c>
      <c r="G330" s="8" t="n">
        <v>579</v>
      </c>
    </row>
    <row r="331" customFormat="false" ht="15" hidden="false" customHeight="false" outlineLevel="0" collapsed="false">
      <c r="A331" s="8" t="s">
        <v>438</v>
      </c>
      <c r="B331" s="8" t="s">
        <v>440</v>
      </c>
      <c r="C331" s="8" t="s">
        <v>27</v>
      </c>
      <c r="D331" s="8" t="n">
        <v>0.0265</v>
      </c>
      <c r="E331" s="8" t="n">
        <v>7.25</v>
      </c>
      <c r="F331" s="8" t="n">
        <v>17.2</v>
      </c>
      <c r="G331" s="8" t="n">
        <v>738</v>
      </c>
    </row>
    <row r="332" customFormat="false" ht="15" hidden="false" customHeight="false" outlineLevel="0" collapsed="false">
      <c r="A332" s="8" t="s">
        <v>438</v>
      </c>
      <c r="B332" s="8" t="s">
        <v>441</v>
      </c>
      <c r="C332" s="8" t="s">
        <v>27</v>
      </c>
      <c r="D332" s="8" t="n">
        <v>0.2223</v>
      </c>
      <c r="E332" s="8" t="n">
        <v>7.12</v>
      </c>
      <c r="F332" s="8" t="n">
        <v>16.3</v>
      </c>
      <c r="G332" s="8" t="n">
        <v>649</v>
      </c>
    </row>
    <row r="333" customFormat="false" ht="15" hidden="false" customHeight="false" outlineLevel="0" collapsed="false">
      <c r="A333" s="8" t="s">
        <v>438</v>
      </c>
      <c r="B333" s="8" t="s">
        <v>442</v>
      </c>
      <c r="C333" s="8" t="s">
        <v>29</v>
      </c>
      <c r="D333" s="8" t="n">
        <v>0.1232</v>
      </c>
      <c r="E333" s="8" t="n">
        <v>6.85</v>
      </c>
      <c r="F333" s="8" t="n">
        <v>20.7</v>
      </c>
      <c r="G333" s="8" t="n">
        <v>552</v>
      </c>
    </row>
    <row r="334" customFormat="false" ht="15" hidden="false" customHeight="false" outlineLevel="0" collapsed="false">
      <c r="A334" s="8" t="s">
        <v>443</v>
      </c>
      <c r="B334" s="8" t="s">
        <v>444</v>
      </c>
      <c r="C334" s="8" t="s">
        <v>27</v>
      </c>
      <c r="D334" s="8" t="n">
        <v>0.1644</v>
      </c>
      <c r="E334" s="8" t="n">
        <v>7.54</v>
      </c>
      <c r="F334" s="8" t="n">
        <v>14.2</v>
      </c>
      <c r="G334" s="8" t="n">
        <v>618</v>
      </c>
    </row>
    <row r="335" customFormat="false" ht="15" hidden="false" customHeight="false" outlineLevel="0" collapsed="false">
      <c r="A335" s="8" t="s">
        <v>443</v>
      </c>
      <c r="B335" s="8" t="s">
        <v>445</v>
      </c>
      <c r="C335" s="8" t="s">
        <v>27</v>
      </c>
      <c r="D335" s="8" t="n">
        <v>0.0675</v>
      </c>
      <c r="E335" s="8" t="n">
        <v>6.67</v>
      </c>
      <c r="F335" s="8" t="n">
        <v>18.6</v>
      </c>
      <c r="G335" s="8" t="n">
        <v>731</v>
      </c>
    </row>
    <row r="336" customFormat="false" ht="15" hidden="false" customHeight="false" outlineLevel="0" collapsed="false">
      <c r="A336" s="8" t="s">
        <v>443</v>
      </c>
      <c r="B336" s="8" t="s">
        <v>446</v>
      </c>
      <c r="C336" s="8" t="s">
        <v>27</v>
      </c>
      <c r="D336" s="8" t="n">
        <v>0.1464</v>
      </c>
      <c r="E336" s="8" t="n">
        <v>7.15</v>
      </c>
      <c r="F336" s="8" t="n">
        <v>11</v>
      </c>
      <c r="G336" s="8" t="n">
        <v>927</v>
      </c>
    </row>
    <row r="337" customFormat="false" ht="15" hidden="false" customHeight="false" outlineLevel="0" collapsed="false">
      <c r="A337" s="8" t="s">
        <v>443</v>
      </c>
      <c r="B337" s="8" t="s">
        <v>447</v>
      </c>
      <c r="C337" s="8" t="s">
        <v>27</v>
      </c>
      <c r="D337" s="8" t="n">
        <v>0.1995</v>
      </c>
      <c r="E337" s="8" t="n">
        <v>6.96</v>
      </c>
      <c r="F337" s="8" t="n">
        <v>19.3</v>
      </c>
      <c r="G337" s="8" t="n">
        <v>797</v>
      </c>
    </row>
    <row r="338" customFormat="false" ht="15" hidden="false" customHeight="false" outlineLevel="0" collapsed="false">
      <c r="A338" s="8" t="s">
        <v>448</v>
      </c>
      <c r="B338" s="8" t="s">
        <v>449</v>
      </c>
      <c r="C338" s="8" t="s">
        <v>32</v>
      </c>
      <c r="D338" s="8" t="n">
        <v>0.2077</v>
      </c>
      <c r="E338" s="8" t="n">
        <v>8.08</v>
      </c>
      <c r="F338" s="8" t="n">
        <v>12.6</v>
      </c>
      <c r="G338" s="8" t="n">
        <v>664</v>
      </c>
    </row>
    <row r="339" customFormat="false" ht="15" hidden="false" customHeight="false" outlineLevel="0" collapsed="false">
      <c r="A339" s="8" t="s">
        <v>448</v>
      </c>
      <c r="B339" s="8" t="s">
        <v>450</v>
      </c>
      <c r="C339" s="8" t="s">
        <v>27</v>
      </c>
      <c r="D339" s="8" t="n">
        <v>0.1822</v>
      </c>
      <c r="E339" s="8" t="n">
        <v>6.84</v>
      </c>
      <c r="F339" s="8" t="n">
        <v>15.1</v>
      </c>
      <c r="G339" s="8" t="n">
        <v>800</v>
      </c>
    </row>
    <row r="340" customFormat="false" ht="15" hidden="false" customHeight="false" outlineLevel="0" collapsed="false">
      <c r="A340" s="8" t="s">
        <v>448</v>
      </c>
      <c r="B340" s="8" t="s">
        <v>451</v>
      </c>
      <c r="C340" s="8" t="s">
        <v>32</v>
      </c>
      <c r="D340" s="8" t="n">
        <v>0.1696</v>
      </c>
      <c r="E340" s="8" t="n">
        <v>6.85</v>
      </c>
      <c r="F340" s="8" t="n">
        <v>18.6</v>
      </c>
      <c r="G340" s="8" t="n">
        <v>719</v>
      </c>
    </row>
    <row r="341" customFormat="false" ht="15" hidden="false" customHeight="false" outlineLevel="0" collapsed="false">
      <c r="A341" s="8" t="s">
        <v>448</v>
      </c>
      <c r="B341" s="8" t="s">
        <v>452</v>
      </c>
      <c r="C341" s="8" t="s">
        <v>29</v>
      </c>
      <c r="D341" s="8" t="n">
        <v>0.153</v>
      </c>
      <c r="E341" s="8" t="n">
        <v>6.44</v>
      </c>
      <c r="F341" s="8" t="n">
        <v>19.4</v>
      </c>
      <c r="G341" s="8" t="n">
        <v>809</v>
      </c>
    </row>
    <row r="342" customFormat="false" ht="15" hidden="false" customHeight="false" outlineLevel="0" collapsed="false">
      <c r="A342" s="8" t="s">
        <v>453</v>
      </c>
      <c r="B342" s="8" t="s">
        <v>454</v>
      </c>
      <c r="C342" s="8" t="s">
        <v>29</v>
      </c>
      <c r="D342" s="8" t="n">
        <v>0.0655</v>
      </c>
      <c r="E342" s="8" t="n">
        <v>7.77</v>
      </c>
      <c r="F342" s="8" t="n">
        <v>15.8</v>
      </c>
      <c r="G342" s="8" t="n">
        <v>513</v>
      </c>
    </row>
    <row r="343" customFormat="false" ht="15" hidden="false" customHeight="false" outlineLevel="0" collapsed="false">
      <c r="A343" s="8" t="s">
        <v>453</v>
      </c>
      <c r="B343" s="8" t="s">
        <v>455</v>
      </c>
      <c r="C343" s="8" t="s">
        <v>27</v>
      </c>
      <c r="D343" s="8" t="n">
        <v>0.0554</v>
      </c>
      <c r="E343" s="8" t="n">
        <v>6.66</v>
      </c>
      <c r="F343" s="8" t="n">
        <v>9.6</v>
      </c>
      <c r="G343" s="8" t="n">
        <v>623</v>
      </c>
    </row>
    <row r="344" customFormat="false" ht="15" hidden="false" customHeight="false" outlineLevel="0" collapsed="false">
      <c r="A344" s="8" t="s">
        <v>453</v>
      </c>
      <c r="B344" s="8" t="s">
        <v>456</v>
      </c>
      <c r="C344" s="8" t="s">
        <v>29</v>
      </c>
      <c r="D344" s="8" t="n">
        <v>0.2196</v>
      </c>
      <c r="E344" s="8" t="n">
        <v>6.18</v>
      </c>
      <c r="F344" s="8" t="n">
        <v>13.3</v>
      </c>
      <c r="G344" s="8" t="n">
        <v>452</v>
      </c>
    </row>
    <row r="345" customFormat="false" ht="15" hidden="false" customHeight="false" outlineLevel="0" collapsed="false">
      <c r="A345" s="8" t="s">
        <v>453</v>
      </c>
      <c r="B345" s="8" t="s">
        <v>457</v>
      </c>
      <c r="C345" s="8" t="s">
        <v>29</v>
      </c>
      <c r="D345" s="8" t="n">
        <v>0.1896</v>
      </c>
      <c r="E345" s="8" t="n">
        <v>7.26</v>
      </c>
      <c r="F345" s="8" t="n">
        <v>15.2</v>
      </c>
      <c r="G345" s="8" t="n">
        <v>873</v>
      </c>
    </row>
    <row r="346" customFormat="false" ht="15" hidden="false" customHeight="false" outlineLevel="0" collapsed="false">
      <c r="A346" s="8" t="s">
        <v>458</v>
      </c>
      <c r="B346" s="8" t="s">
        <v>459</v>
      </c>
      <c r="C346" s="8" t="s">
        <v>29</v>
      </c>
      <c r="D346" s="8" t="n">
        <v>0.2144</v>
      </c>
      <c r="E346" s="8" t="n">
        <v>7.04</v>
      </c>
      <c r="F346" s="8" t="n">
        <v>14.6</v>
      </c>
      <c r="G346" s="8" t="n">
        <v>920</v>
      </c>
    </row>
    <row r="347" customFormat="false" ht="15" hidden="false" customHeight="false" outlineLevel="0" collapsed="false">
      <c r="A347" s="8" t="s">
        <v>458</v>
      </c>
      <c r="B347" s="8" t="s">
        <v>460</v>
      </c>
      <c r="C347" s="8" t="s">
        <v>27</v>
      </c>
      <c r="D347" s="8" t="n">
        <v>0.0866</v>
      </c>
      <c r="E347" s="8" t="n">
        <v>7.75</v>
      </c>
      <c r="F347" s="8" t="n">
        <v>21.2</v>
      </c>
      <c r="G347" s="8" t="n">
        <v>918</v>
      </c>
    </row>
    <row r="348" customFormat="false" ht="15" hidden="false" customHeight="false" outlineLevel="0" collapsed="false">
      <c r="A348" s="8" t="s">
        <v>458</v>
      </c>
      <c r="B348" s="8" t="s">
        <v>461</v>
      </c>
      <c r="C348" s="8" t="s">
        <v>27</v>
      </c>
      <c r="D348" s="8" t="n">
        <v>0.1244</v>
      </c>
      <c r="E348" s="8" t="n">
        <v>7.07</v>
      </c>
      <c r="F348" s="8" t="n">
        <v>21.9</v>
      </c>
      <c r="G348" s="8" t="n">
        <v>534</v>
      </c>
    </row>
    <row r="349" customFormat="false" ht="15" hidden="false" customHeight="false" outlineLevel="0" collapsed="false">
      <c r="A349" s="8" t="s">
        <v>458</v>
      </c>
      <c r="B349" s="8" t="s">
        <v>462</v>
      </c>
      <c r="C349" s="8" t="s">
        <v>29</v>
      </c>
      <c r="D349" s="8" t="n">
        <v>0.0452</v>
      </c>
      <c r="E349" s="8" t="n">
        <v>6.63</v>
      </c>
      <c r="F349" s="8" t="n">
        <v>18.5</v>
      </c>
      <c r="G349" s="8" t="n">
        <v>951</v>
      </c>
    </row>
    <row r="350" customFormat="false" ht="15" hidden="false" customHeight="false" outlineLevel="0" collapsed="false">
      <c r="A350" s="8" t="s">
        <v>463</v>
      </c>
      <c r="B350" s="8" t="s">
        <v>464</v>
      </c>
      <c r="C350" s="8" t="s">
        <v>32</v>
      </c>
      <c r="D350" s="8" t="n">
        <v>0.2905</v>
      </c>
      <c r="E350" s="8" t="n">
        <v>7.24</v>
      </c>
      <c r="F350" s="8" t="n">
        <v>11.3</v>
      </c>
      <c r="G350" s="8" t="n">
        <v>522</v>
      </c>
    </row>
    <row r="351" customFormat="false" ht="15" hidden="false" customHeight="false" outlineLevel="0" collapsed="false">
      <c r="A351" s="8" t="s">
        <v>463</v>
      </c>
      <c r="B351" s="8" t="s">
        <v>465</v>
      </c>
      <c r="C351" s="8" t="s">
        <v>27</v>
      </c>
      <c r="D351" s="8" t="n">
        <v>0.058</v>
      </c>
      <c r="E351" s="8" t="n">
        <v>8.05</v>
      </c>
      <c r="F351" s="8" t="n">
        <v>9.4</v>
      </c>
      <c r="G351" s="8" t="n">
        <v>449</v>
      </c>
    </row>
    <row r="352" customFormat="false" ht="15" hidden="false" customHeight="false" outlineLevel="0" collapsed="false">
      <c r="A352" s="8" t="s">
        <v>463</v>
      </c>
      <c r="B352" s="8" t="s">
        <v>466</v>
      </c>
      <c r="C352" s="8" t="s">
        <v>32</v>
      </c>
      <c r="D352" s="8" t="n">
        <v>0.2931</v>
      </c>
      <c r="E352" s="8" t="n">
        <v>7.52</v>
      </c>
      <c r="F352" s="8" t="n">
        <v>19.4</v>
      </c>
      <c r="G352" s="8" t="n">
        <v>551</v>
      </c>
    </row>
    <row r="353" customFormat="false" ht="15" hidden="false" customHeight="false" outlineLevel="0" collapsed="false">
      <c r="A353" s="8" t="s">
        <v>463</v>
      </c>
      <c r="B353" s="8" t="s">
        <v>467</v>
      </c>
      <c r="C353" s="8" t="s">
        <v>27</v>
      </c>
      <c r="D353" s="8" t="n">
        <v>0.0883</v>
      </c>
      <c r="E353" s="8" t="n">
        <v>6.38</v>
      </c>
      <c r="F353" s="8" t="n">
        <v>22.2</v>
      </c>
      <c r="G353" s="8" t="n">
        <v>589</v>
      </c>
    </row>
    <row r="354" customFormat="false" ht="15" hidden="false" customHeight="false" outlineLevel="0" collapsed="false">
      <c r="A354" s="8" t="s">
        <v>468</v>
      </c>
      <c r="B354" s="8" t="s">
        <v>469</v>
      </c>
      <c r="C354" s="8" t="s">
        <v>27</v>
      </c>
      <c r="D354" s="8" t="n">
        <v>0.0225</v>
      </c>
      <c r="E354" s="8" t="n">
        <v>7.58</v>
      </c>
      <c r="F354" s="8" t="n">
        <v>13.2</v>
      </c>
      <c r="G354" s="8" t="n">
        <v>677</v>
      </c>
    </row>
    <row r="355" customFormat="false" ht="15" hidden="false" customHeight="false" outlineLevel="0" collapsed="false">
      <c r="A355" s="8" t="s">
        <v>468</v>
      </c>
      <c r="B355" s="8" t="s">
        <v>470</v>
      </c>
      <c r="C355" s="8" t="s">
        <v>27</v>
      </c>
      <c r="D355" s="8" t="n">
        <v>0.005</v>
      </c>
      <c r="E355" s="8" t="n">
        <v>7.46</v>
      </c>
      <c r="F355" s="8" t="n">
        <v>16.7</v>
      </c>
      <c r="G355" s="8" t="n">
        <v>556</v>
      </c>
    </row>
    <row r="356" customFormat="false" ht="15" hidden="false" customHeight="false" outlineLevel="0" collapsed="false">
      <c r="A356" s="8" t="s">
        <v>468</v>
      </c>
      <c r="B356" s="8" t="s">
        <v>471</v>
      </c>
      <c r="C356" s="8" t="s">
        <v>29</v>
      </c>
      <c r="D356" s="8" t="n">
        <v>0.1164</v>
      </c>
      <c r="E356" s="8" t="n">
        <v>6.86</v>
      </c>
      <c r="F356" s="8" t="n">
        <v>20</v>
      </c>
      <c r="G356" s="8" t="n">
        <v>799</v>
      </c>
    </row>
    <row r="357" customFormat="false" ht="15" hidden="false" customHeight="false" outlineLevel="0" collapsed="false">
      <c r="A357" s="8" t="s">
        <v>468</v>
      </c>
      <c r="B357" s="8" t="s">
        <v>472</v>
      </c>
      <c r="C357" s="8" t="s">
        <v>27</v>
      </c>
      <c r="D357" s="8" t="n">
        <v>0.2243</v>
      </c>
      <c r="E357" s="8" t="n">
        <v>6.99</v>
      </c>
      <c r="F357" s="8" t="n">
        <v>12.6</v>
      </c>
      <c r="G357" s="8" t="n">
        <v>150</v>
      </c>
    </row>
    <row r="358" customFormat="false" ht="15" hidden="false" customHeight="false" outlineLevel="0" collapsed="false">
      <c r="A358" s="8" t="s">
        <v>473</v>
      </c>
      <c r="B358" s="8" t="s">
        <v>474</v>
      </c>
      <c r="C358" s="8" t="s">
        <v>27</v>
      </c>
      <c r="D358" s="8" t="n">
        <v>0.1765</v>
      </c>
      <c r="E358" s="8" t="n">
        <v>7.35</v>
      </c>
      <c r="F358" s="8" t="n">
        <v>15.7</v>
      </c>
      <c r="G358" s="8" t="n">
        <v>669</v>
      </c>
    </row>
    <row r="359" customFormat="false" ht="15" hidden="false" customHeight="false" outlineLevel="0" collapsed="false">
      <c r="A359" s="8" t="s">
        <v>473</v>
      </c>
      <c r="B359" s="8" t="s">
        <v>475</v>
      </c>
      <c r="C359" s="8" t="s">
        <v>29</v>
      </c>
      <c r="D359" s="8" t="n">
        <v>0.0729</v>
      </c>
      <c r="E359" s="8" t="n">
        <v>7.53</v>
      </c>
      <c r="F359" s="8" t="n">
        <v>18.8</v>
      </c>
      <c r="G359" s="8" t="n">
        <v>740</v>
      </c>
    </row>
    <row r="360" customFormat="false" ht="15" hidden="false" customHeight="false" outlineLevel="0" collapsed="false">
      <c r="A360" s="8" t="s">
        <v>473</v>
      </c>
      <c r="B360" s="8" t="s">
        <v>476</v>
      </c>
      <c r="C360" s="8" t="s">
        <v>27</v>
      </c>
      <c r="D360" s="8" t="n">
        <v>0.1711</v>
      </c>
      <c r="E360" s="8" t="n">
        <v>8.21</v>
      </c>
      <c r="F360" s="8" t="n">
        <v>17.3</v>
      </c>
      <c r="G360" s="8" t="n">
        <v>850</v>
      </c>
    </row>
    <row r="361" customFormat="false" ht="15" hidden="false" customHeight="false" outlineLevel="0" collapsed="false">
      <c r="A361" s="8" t="s">
        <v>473</v>
      </c>
      <c r="B361" s="8" t="s">
        <v>477</v>
      </c>
      <c r="C361" s="8" t="s">
        <v>27</v>
      </c>
      <c r="D361" s="8" t="n">
        <v>0.287</v>
      </c>
      <c r="E361" s="8" t="n">
        <v>7.48</v>
      </c>
      <c r="F361" s="8" t="n">
        <v>10.5</v>
      </c>
      <c r="G361" s="8" t="n">
        <v>353</v>
      </c>
    </row>
    <row r="362" customFormat="false" ht="15" hidden="false" customHeight="false" outlineLevel="0" collapsed="false">
      <c r="A362" s="8" t="s">
        <v>478</v>
      </c>
      <c r="B362" s="8" t="s">
        <v>479</v>
      </c>
      <c r="C362" s="8" t="s">
        <v>29</v>
      </c>
      <c r="D362" s="8" t="n">
        <v>0.1612</v>
      </c>
      <c r="E362" s="8" t="n">
        <v>7.88</v>
      </c>
      <c r="F362" s="8" t="n">
        <v>23.1</v>
      </c>
      <c r="G362" s="8" t="n">
        <v>739</v>
      </c>
    </row>
    <row r="363" customFormat="false" ht="15" hidden="false" customHeight="false" outlineLevel="0" collapsed="false">
      <c r="A363" s="8" t="s">
        <v>478</v>
      </c>
      <c r="B363" s="8" t="s">
        <v>480</v>
      </c>
      <c r="C363" s="8" t="s">
        <v>27</v>
      </c>
      <c r="D363" s="8" t="n">
        <v>0.0655</v>
      </c>
      <c r="E363" s="8" t="n">
        <v>6.48</v>
      </c>
      <c r="F363" s="8" t="n">
        <v>13.8</v>
      </c>
      <c r="G363" s="8" t="n">
        <v>763</v>
      </c>
    </row>
    <row r="364" customFormat="false" ht="15" hidden="false" customHeight="false" outlineLevel="0" collapsed="false">
      <c r="A364" s="8" t="s">
        <v>478</v>
      </c>
      <c r="B364" s="8" t="s">
        <v>481</v>
      </c>
      <c r="C364" s="8" t="s">
        <v>32</v>
      </c>
      <c r="D364" s="8" t="n">
        <v>0.3686</v>
      </c>
      <c r="E364" s="8" t="n">
        <v>6.85</v>
      </c>
      <c r="F364" s="8" t="n">
        <v>16.9</v>
      </c>
      <c r="G364" s="8" t="n">
        <v>626</v>
      </c>
    </row>
    <row r="365" customFormat="false" ht="15" hidden="false" customHeight="false" outlineLevel="0" collapsed="false">
      <c r="A365" s="8" t="s">
        <v>478</v>
      </c>
      <c r="B365" s="8" t="s">
        <v>482</v>
      </c>
      <c r="C365" s="8" t="s">
        <v>32</v>
      </c>
      <c r="D365" s="8" t="n">
        <v>0.342</v>
      </c>
      <c r="E365" s="8" t="n">
        <v>7.56</v>
      </c>
      <c r="F365" s="8" t="n">
        <v>18.6</v>
      </c>
      <c r="G365" s="8" t="n">
        <v>783</v>
      </c>
    </row>
    <row r="366" customFormat="false" ht="15" hidden="false" customHeight="false" outlineLevel="0" collapsed="false">
      <c r="A366" s="8" t="s">
        <v>483</v>
      </c>
      <c r="B366" s="8" t="s">
        <v>484</v>
      </c>
      <c r="C366" s="8" t="s">
        <v>32</v>
      </c>
      <c r="D366" s="8" t="n">
        <v>0.2924</v>
      </c>
      <c r="E366" s="8" t="n">
        <v>7.47</v>
      </c>
      <c r="F366" s="8" t="n">
        <v>21.4</v>
      </c>
      <c r="G366" s="8" t="n">
        <v>714</v>
      </c>
    </row>
    <row r="367" customFormat="false" ht="15" hidden="false" customHeight="false" outlineLevel="0" collapsed="false">
      <c r="A367" s="8" t="s">
        <v>483</v>
      </c>
      <c r="B367" s="8" t="s">
        <v>485</v>
      </c>
      <c r="C367" s="8" t="s">
        <v>29</v>
      </c>
      <c r="D367" s="8" t="n">
        <v>0.1566</v>
      </c>
      <c r="E367" s="8" t="n">
        <v>6.02</v>
      </c>
      <c r="F367" s="8" t="n">
        <v>13</v>
      </c>
      <c r="G367" s="8" t="n">
        <v>666</v>
      </c>
    </row>
    <row r="368" customFormat="false" ht="15" hidden="false" customHeight="false" outlineLevel="0" collapsed="false">
      <c r="A368" s="8" t="s">
        <v>483</v>
      </c>
      <c r="B368" s="8" t="s">
        <v>486</v>
      </c>
      <c r="C368" s="8" t="s">
        <v>29</v>
      </c>
      <c r="D368" s="8" t="n">
        <v>0.184</v>
      </c>
      <c r="E368" s="8" t="n">
        <v>7.6</v>
      </c>
      <c r="F368" s="8" t="n">
        <v>19.8</v>
      </c>
      <c r="G368" s="8" t="n">
        <v>621</v>
      </c>
    </row>
    <row r="369" customFormat="false" ht="15" hidden="false" customHeight="false" outlineLevel="0" collapsed="false">
      <c r="A369" s="8" t="s">
        <v>483</v>
      </c>
      <c r="B369" s="8" t="s">
        <v>487</v>
      </c>
      <c r="C369" s="8" t="s">
        <v>27</v>
      </c>
      <c r="D369" s="8" t="n">
        <v>0.0129</v>
      </c>
      <c r="E369" s="8" t="n">
        <v>6.05</v>
      </c>
      <c r="F369" s="8" t="n">
        <v>19.1</v>
      </c>
      <c r="G369" s="8" t="n">
        <v>600</v>
      </c>
    </row>
    <row r="370" customFormat="false" ht="15" hidden="false" customHeight="false" outlineLevel="0" collapsed="false">
      <c r="A370" s="8" t="s">
        <v>488</v>
      </c>
      <c r="B370" s="8" t="s">
        <v>489</v>
      </c>
      <c r="C370" s="8" t="s">
        <v>27</v>
      </c>
      <c r="D370" s="8" t="n">
        <v>0.1496</v>
      </c>
      <c r="E370" s="8" t="n">
        <v>7.43</v>
      </c>
      <c r="F370" s="8" t="n">
        <v>14.8</v>
      </c>
      <c r="G370" s="8" t="n">
        <v>506</v>
      </c>
    </row>
    <row r="371" customFormat="false" ht="15" hidden="false" customHeight="false" outlineLevel="0" collapsed="false">
      <c r="A371" s="8" t="s">
        <v>488</v>
      </c>
      <c r="B371" s="8" t="s">
        <v>490</v>
      </c>
      <c r="C371" s="8" t="s">
        <v>32</v>
      </c>
      <c r="D371" s="8" t="n">
        <v>0.2488</v>
      </c>
      <c r="E371" s="8" t="n">
        <v>6.3</v>
      </c>
      <c r="F371" s="8" t="n">
        <v>20.6</v>
      </c>
      <c r="G371" s="8" t="n">
        <v>784</v>
      </c>
    </row>
    <row r="372" customFormat="false" ht="15" hidden="false" customHeight="false" outlineLevel="0" collapsed="false">
      <c r="A372" s="8" t="s">
        <v>488</v>
      </c>
      <c r="B372" s="8" t="s">
        <v>491</v>
      </c>
      <c r="C372" s="8" t="s">
        <v>29</v>
      </c>
      <c r="D372" s="8" t="n">
        <v>0.2033</v>
      </c>
      <c r="E372" s="8" t="n">
        <v>7.33</v>
      </c>
      <c r="F372" s="8" t="n">
        <v>10.7</v>
      </c>
      <c r="G372" s="8" t="n">
        <v>472</v>
      </c>
    </row>
    <row r="373" customFormat="false" ht="15" hidden="false" customHeight="false" outlineLevel="0" collapsed="false">
      <c r="A373" s="8" t="s">
        <v>488</v>
      </c>
      <c r="B373" s="8" t="s">
        <v>492</v>
      </c>
      <c r="C373" s="8" t="s">
        <v>29</v>
      </c>
      <c r="D373" s="8" t="n">
        <v>0.1588</v>
      </c>
      <c r="E373" s="8" t="n">
        <v>8.02</v>
      </c>
      <c r="F373" s="8" t="n">
        <v>13.9</v>
      </c>
      <c r="G373" s="8" t="n">
        <v>266</v>
      </c>
    </row>
    <row r="374" customFormat="false" ht="15" hidden="false" customHeight="false" outlineLevel="0" collapsed="false">
      <c r="A374" s="8" t="s">
        <v>493</v>
      </c>
      <c r="B374" s="8" t="s">
        <v>494</v>
      </c>
      <c r="C374" s="8" t="s">
        <v>29</v>
      </c>
      <c r="D374" s="8" t="n">
        <v>0.2071</v>
      </c>
      <c r="E374" s="8" t="n">
        <v>6.65</v>
      </c>
      <c r="F374" s="8" t="n">
        <v>12.4</v>
      </c>
      <c r="G374" s="8" t="n">
        <v>778</v>
      </c>
    </row>
    <row r="375" customFormat="false" ht="15" hidden="false" customHeight="false" outlineLevel="0" collapsed="false">
      <c r="A375" s="8" t="s">
        <v>493</v>
      </c>
      <c r="B375" s="8" t="s">
        <v>495</v>
      </c>
      <c r="C375" s="8" t="s">
        <v>32</v>
      </c>
      <c r="D375" s="8" t="n">
        <v>0.2126</v>
      </c>
      <c r="E375" s="8" t="n">
        <v>6.94</v>
      </c>
      <c r="F375" s="8" t="n">
        <v>18.3</v>
      </c>
      <c r="G375" s="8" t="n">
        <v>659</v>
      </c>
    </row>
    <row r="376" customFormat="false" ht="15" hidden="false" customHeight="false" outlineLevel="0" collapsed="false">
      <c r="A376" s="8" t="s">
        <v>493</v>
      </c>
      <c r="B376" s="8" t="s">
        <v>496</v>
      </c>
      <c r="C376" s="8" t="s">
        <v>29</v>
      </c>
      <c r="D376" s="8" t="n">
        <v>0.1765</v>
      </c>
      <c r="E376" s="8" t="n">
        <v>7.73</v>
      </c>
      <c r="F376" s="8" t="n">
        <v>14.3</v>
      </c>
      <c r="G376" s="8" t="n">
        <v>829</v>
      </c>
    </row>
    <row r="377" customFormat="false" ht="15" hidden="false" customHeight="false" outlineLevel="0" collapsed="false">
      <c r="A377" s="8" t="s">
        <v>493</v>
      </c>
      <c r="B377" s="8" t="s">
        <v>497</v>
      </c>
      <c r="C377" s="8" t="s">
        <v>29</v>
      </c>
      <c r="D377" s="8" t="n">
        <v>0.1129</v>
      </c>
      <c r="E377" s="8" t="n">
        <v>6.09</v>
      </c>
      <c r="F377" s="8" t="n">
        <v>14.9</v>
      </c>
      <c r="G377" s="8" t="n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39.5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498</v>
      </c>
      <c r="E1" s="1" t="s">
        <v>499</v>
      </c>
      <c r="F1" s="1" t="s">
        <v>8</v>
      </c>
      <c r="G1" s="1" t="s">
        <v>500</v>
      </c>
      <c r="H1" s="1" t="s">
        <v>501</v>
      </c>
      <c r="I1" s="1" t="s">
        <v>502</v>
      </c>
      <c r="J1" s="1" t="s">
        <v>503</v>
      </c>
    </row>
    <row r="2" customFormat="false" ht="15" hidden="false" customHeight="false" outlineLevel="0" collapsed="false">
      <c r="A2" s="9" t="str">
        <f aca="false">Данные_ввод!A2</f>
        <v>2026-01-05</v>
      </c>
      <c r="B2" s="9" t="str">
        <f aca="false">Данные_ввод!B2</f>
        <v>S-0001</v>
      </c>
      <c r="C2" s="9" t="str">
        <f aca="false">Данные_ввод!C2</f>
        <v>Точка-1 (скважина)</v>
      </c>
      <c r="D2" s="10" t="n">
        <f aca="false">(Данные_ввод!D2-Градуировка_Fe!$B$4)/Градуировка_Fe!$B$3</f>
        <v>0.121581273139854</v>
      </c>
      <c r="E2" s="11" t="str">
        <f aca="false">IF(D2&lt;=Нормативы!$C$2,"норма","превышение")</f>
        <v>норма</v>
      </c>
      <c r="F2" s="12" t="n">
        <f aca="false">Данные_ввод!E2</f>
        <v>7.25</v>
      </c>
      <c r="G2" s="11" t="str">
        <f aca="false">IF(AND(F2&gt;=Нормативы!$B$3,F2&lt;=Нормативы!$C$3),"норма","превышение")</f>
        <v>норма</v>
      </c>
      <c r="H2" s="13" t="n">
        <f aca="false">Данные_ввод!G2</f>
        <v>625</v>
      </c>
      <c r="I2" s="11" t="str">
        <f aca="false">IF(H2&lt;=Нормативы!$C$4,"норма","превышение")</f>
        <v>норма</v>
      </c>
      <c r="J2" s="11" t="str">
        <f aca="false">IF(AND(E2="норма",G2="норма",I2="норма"),"Проба соответствует","Проба не соответствует")</f>
        <v>Проба соответствует</v>
      </c>
    </row>
    <row r="3" customFormat="false" ht="15" hidden="false" customHeight="false" outlineLevel="0" collapsed="false">
      <c r="A3" s="9" t="str">
        <f aca="false">Данные_ввод!A3</f>
        <v>2026-01-05</v>
      </c>
      <c r="B3" s="9" t="str">
        <f aca="false">Данные_ввод!B3</f>
        <v>S-0002</v>
      </c>
      <c r="C3" s="9" t="str">
        <f aca="false">Данные_ввод!C3</f>
        <v>Точка-2 (резервуар)</v>
      </c>
      <c r="D3" s="10" t="n">
        <f aca="false">(Данные_ввод!D3-Градуировка_Fe!$B$4)/Градуировка_Fe!$B$3</f>
        <v>0.161232533142243</v>
      </c>
      <c r="E3" s="11" t="str">
        <f aca="false">IF(D3&lt;=Нормативы!$C$2,"норма","превышение")</f>
        <v>норма</v>
      </c>
      <c r="F3" s="12" t="n">
        <f aca="false">Данные_ввод!E3</f>
        <v>7.53</v>
      </c>
      <c r="G3" s="11" t="str">
        <f aca="false">IF(AND(F3&gt;=Нормативы!$B$3,F3&lt;=Нормативы!$C$3),"норма","превышение")</f>
        <v>норма</v>
      </c>
      <c r="H3" s="13" t="n">
        <f aca="false">Данные_ввод!G3</f>
        <v>623</v>
      </c>
      <c r="I3" s="11" t="str">
        <f aca="false">IF(H3&lt;=Нормативы!$C$4,"норма","превышение")</f>
        <v>норма</v>
      </c>
      <c r="J3" s="11" t="str">
        <f aca="false">IF(AND(E3="норма",G3="норма",I3="норма"),"Проба соответствует","Проба не соответствует")</f>
        <v>Проба соответствует</v>
      </c>
    </row>
    <row r="4" customFormat="false" ht="15" hidden="false" customHeight="false" outlineLevel="0" collapsed="false">
      <c r="A4" s="9" t="str">
        <f aca="false">Данные_ввод!A4</f>
        <v>2026-01-05</v>
      </c>
      <c r="B4" s="9" t="str">
        <f aca="false">Данные_ввод!B4</f>
        <v>S-0003</v>
      </c>
      <c r="C4" s="9" t="str">
        <f aca="false">Данные_ввод!C4</f>
        <v>Точка-1 (скважина)</v>
      </c>
      <c r="D4" s="10" t="n">
        <f aca="false">(Данные_ввод!D4-Градуировка_Fe!$B$4)/Градуировка_Fe!$B$3</f>
        <v>0.13877941000836</v>
      </c>
      <c r="E4" s="11" t="str">
        <f aca="false">IF(D4&lt;=Нормативы!$C$2,"норма","превышение")</f>
        <v>норма</v>
      </c>
      <c r="F4" s="12" t="n">
        <f aca="false">Данные_ввод!E4</f>
        <v>7.61</v>
      </c>
      <c r="G4" s="11" t="str">
        <f aca="false">IF(AND(F4&gt;=Нормативы!$B$3,F4&lt;=Нормативы!$C$3),"норма","превышение")</f>
        <v>норма</v>
      </c>
      <c r="H4" s="13" t="n">
        <f aca="false">Данные_ввод!G4</f>
        <v>661</v>
      </c>
      <c r="I4" s="11" t="str">
        <f aca="false">IF(H4&lt;=Нормативы!$C$4,"норма","превышение")</f>
        <v>норма</v>
      </c>
      <c r="J4" s="11" t="str">
        <f aca="false">IF(AND(E4="норма",G4="норма",I4="норма"),"Проба соответствует","Проба не соответствует")</f>
        <v>Проба соответствует</v>
      </c>
    </row>
    <row r="5" customFormat="false" ht="15" hidden="false" customHeight="false" outlineLevel="0" collapsed="false">
      <c r="A5" s="9" t="str">
        <f aca="false">Данные_ввод!A5</f>
        <v>2026-01-05</v>
      </c>
      <c r="B5" s="9" t="str">
        <f aca="false">Данные_ввод!B5</f>
        <v>S-0004</v>
      </c>
      <c r="C5" s="9" t="str">
        <f aca="false">Данные_ввод!C5</f>
        <v>Точка-3 (сброс)</v>
      </c>
      <c r="D5" s="10" t="n">
        <f aca="false">(Данные_ввод!D5-Градуировка_Fe!$B$4)/Градуировка_Fe!$B$3</f>
        <v>0.191926430192285</v>
      </c>
      <c r="E5" s="11" t="str">
        <f aca="false">IF(D5&lt;=Нормативы!$C$2,"норма","превышение")</f>
        <v>норма</v>
      </c>
      <c r="F5" s="12" t="n">
        <f aca="false">Данные_ввод!E5</f>
        <v>6.36</v>
      </c>
      <c r="G5" s="11" t="str">
        <f aca="false">IF(AND(F5&gt;=Нормативы!$B$3,F5&lt;=Нормативы!$C$3),"норма","превышение")</f>
        <v>норма</v>
      </c>
      <c r="H5" s="13" t="n">
        <f aca="false">Данные_ввод!G5</f>
        <v>675</v>
      </c>
      <c r="I5" s="11" t="str">
        <f aca="false">IF(H5&lt;=Нормативы!$C$4,"норма","превышение")</f>
        <v>норма</v>
      </c>
      <c r="J5" s="11" t="str">
        <f aca="false">IF(AND(E5="норма",G5="норма",I5="норма"),"Проба соответствует","Проба не соответствует")</f>
        <v>Проба соответствует</v>
      </c>
    </row>
    <row r="6" customFormat="false" ht="15" hidden="false" customHeight="false" outlineLevel="0" collapsed="false">
      <c r="A6" s="9" t="str">
        <f aca="false">Данные_ввод!A6</f>
        <v>2026-01-06</v>
      </c>
      <c r="B6" s="9" t="str">
        <f aca="false">Данные_ввод!B6</f>
        <v>S-0005</v>
      </c>
      <c r="C6" s="9" t="str">
        <f aca="false">Данные_ввод!C6</f>
        <v>Точка-2 (резервуар)</v>
      </c>
      <c r="D6" s="10" t="n">
        <f aca="false">(Данные_ввод!D6-Градуировка_Fe!$B$4)/Градуировка_Fe!$B$3</f>
        <v>0.0496835065090171</v>
      </c>
      <c r="E6" s="11" t="str">
        <f aca="false">IF(D6&lt;=Нормативы!$C$2,"норма","превышение")</f>
        <v>норма</v>
      </c>
      <c r="F6" s="12" t="n">
        <f aca="false">Данные_ввод!E6</f>
        <v>5.92</v>
      </c>
      <c r="G6" s="11" t="str">
        <f aca="false">IF(AND(F6&gt;=Нормативы!$B$3,F6&lt;=Нормативы!$C$3),"норма","превышение")</f>
        <v>превышение</v>
      </c>
      <c r="H6" s="13" t="n">
        <f aca="false">Данные_ввод!G6</f>
        <v>290</v>
      </c>
      <c r="I6" s="11" t="str">
        <f aca="false">IF(H6&lt;=Нормативы!$C$4,"норма","превышение")</f>
        <v>норма</v>
      </c>
      <c r="J6" s="11" t="str">
        <f aca="false">IF(AND(E6="норма",G6="норма",I6="норма"),"Проба соответствует","Проба не соответствует")</f>
        <v>Проба не соответствует</v>
      </c>
    </row>
    <row r="7" customFormat="false" ht="15" hidden="false" customHeight="false" outlineLevel="0" collapsed="false">
      <c r="A7" s="9" t="str">
        <f aca="false">Данные_ввод!A7</f>
        <v>2026-01-06</v>
      </c>
      <c r="B7" s="9" t="str">
        <f aca="false">Данные_ввод!B7</f>
        <v>S-0006</v>
      </c>
      <c r="C7" s="9" t="str">
        <f aca="false">Данные_ввод!C7</f>
        <v>Точка-3 (сброс)</v>
      </c>
      <c r="D7" s="10" t="n">
        <f aca="false">(Данные_ввод!D7-Градуировка_Fe!$B$4)/Градуировка_Fe!$B$3</f>
        <v>0.180938731637406</v>
      </c>
      <c r="E7" s="11" t="str">
        <f aca="false">IF(D7&lt;=Нормативы!$C$2,"норма","превышение")</f>
        <v>норма</v>
      </c>
      <c r="F7" s="12" t="n">
        <f aca="false">Данные_ввод!E7</f>
        <v>7.79</v>
      </c>
      <c r="G7" s="11" t="str">
        <f aca="false">IF(AND(F7&gt;=Нормативы!$B$3,F7&lt;=Нормативы!$C$3),"норма","превышение")</f>
        <v>норма</v>
      </c>
      <c r="H7" s="13" t="n">
        <f aca="false">Данные_ввод!G7</f>
        <v>736</v>
      </c>
      <c r="I7" s="11" t="str">
        <f aca="false">IF(H7&lt;=Нормативы!$C$4,"норма","превышение")</f>
        <v>норма</v>
      </c>
      <c r="J7" s="11" t="str">
        <f aca="false">IF(AND(E7="норма",G7="норма",I7="норма"),"Проба соответствует","Проба не соответствует")</f>
        <v>Проба соответствует</v>
      </c>
    </row>
    <row r="8" customFormat="false" ht="15" hidden="false" customHeight="false" outlineLevel="0" collapsed="false">
      <c r="A8" s="9" t="str">
        <f aca="false">Данные_ввод!A8</f>
        <v>2026-01-06</v>
      </c>
      <c r="B8" s="9" t="str">
        <f aca="false">Данные_ввод!B8</f>
        <v>S-0007</v>
      </c>
      <c r="C8" s="9" t="str">
        <f aca="false">Данные_ввод!C8</f>
        <v>Точка-2 (резервуар)</v>
      </c>
      <c r="D8" s="10" t="n">
        <f aca="false">(Данные_ввод!D8-Градуировка_Fe!$B$4)/Градуировка_Fe!$B$3</f>
        <v>0.291771169234444</v>
      </c>
      <c r="E8" s="11" t="str">
        <f aca="false">IF(D8&lt;=Нормативы!$C$2,"норма","превышение")</f>
        <v>норма</v>
      </c>
      <c r="F8" s="12" t="n">
        <f aca="false">Данные_ввод!E8</f>
        <v>6.82</v>
      </c>
      <c r="G8" s="11" t="str">
        <f aca="false">IF(AND(F8&gt;=Нормативы!$B$3,F8&lt;=Нормативы!$C$3),"норма","превышение")</f>
        <v>норма</v>
      </c>
      <c r="H8" s="13" t="n">
        <f aca="false">Данные_ввод!G8</f>
        <v>548</v>
      </c>
      <c r="I8" s="11" t="str">
        <f aca="false">IF(H8&lt;=Нормативы!$C$4,"норма","превышение")</f>
        <v>норма</v>
      </c>
      <c r="J8" s="11" t="str">
        <f aca="false">IF(AND(E8="норма",G8="норма",I8="норма"),"Проба соответствует","Проба не соответствует")</f>
        <v>Проба соответствует</v>
      </c>
    </row>
    <row r="9" customFormat="false" ht="15" hidden="false" customHeight="false" outlineLevel="0" collapsed="false">
      <c r="A9" s="9" t="str">
        <f aca="false">Данные_ввод!A9</f>
        <v>2026-01-06</v>
      </c>
      <c r="B9" s="9" t="str">
        <f aca="false">Данные_ввод!B9</f>
        <v>S-0008</v>
      </c>
      <c r="C9" s="9" t="str">
        <f aca="false">Данные_ввод!C9</f>
        <v>Точка-3 (сброс)</v>
      </c>
      <c r="D9" s="10" t="n">
        <f aca="false">(Данные_ввод!D9-Градуировка_Fe!$B$4)/Градуировка_Fe!$B$3</f>
        <v>0.369401648154783</v>
      </c>
      <c r="E9" s="11" t="str">
        <f aca="false">IF(D9&lt;=Нормативы!$C$2,"норма","превышение")</f>
        <v>превышение</v>
      </c>
      <c r="F9" s="12" t="n">
        <f aca="false">Данные_ввод!E9</f>
        <v>6.79</v>
      </c>
      <c r="G9" s="11" t="str">
        <f aca="false">IF(AND(F9&gt;=Нормативы!$B$3,F9&lt;=Нормативы!$C$3),"норма","превышение")</f>
        <v>норма</v>
      </c>
      <c r="H9" s="13" t="n">
        <f aca="false">Данные_ввод!G9</f>
        <v>362</v>
      </c>
      <c r="I9" s="11" t="str">
        <f aca="false">IF(H9&lt;=Нормативы!$C$4,"норма","превышение")</f>
        <v>норма</v>
      </c>
      <c r="J9" s="11" t="str">
        <f aca="false">IF(AND(E9="норма",G9="норма",I9="норма"),"Проба соответствует","Проба не соответствует")</f>
        <v>Проба не соответствует</v>
      </c>
    </row>
    <row r="10" customFormat="false" ht="15" hidden="false" customHeight="false" outlineLevel="0" collapsed="false">
      <c r="A10" s="9" t="str">
        <f aca="false">Данные_ввод!A10</f>
        <v>2026-01-07</v>
      </c>
      <c r="B10" s="9" t="str">
        <f aca="false">Данные_ввод!B10</f>
        <v>S-0009</v>
      </c>
      <c r="C10" s="9" t="str">
        <f aca="false">Данные_ввод!C10</f>
        <v>Точка-2 (резервуар)</v>
      </c>
      <c r="D10" s="10" t="n">
        <f aca="false">(Данные_ввод!D10-Градуировка_Fe!$B$4)/Градуировка_Fe!$B$3</f>
        <v>0.00489669174728293</v>
      </c>
      <c r="E10" s="11" t="str">
        <f aca="false">IF(D10&lt;=Нормативы!$C$2,"норма","превышение")</f>
        <v>норма</v>
      </c>
      <c r="F10" s="12" t="n">
        <f aca="false">Данные_ввод!E10</f>
        <v>7.32</v>
      </c>
      <c r="G10" s="11" t="str">
        <f aca="false">IF(AND(F10&gt;=Нормативы!$B$3,F10&lt;=Нормативы!$C$3),"норма","превышение")</f>
        <v>норма</v>
      </c>
      <c r="H10" s="13" t="n">
        <f aca="false">Данные_ввод!G10</f>
        <v>677</v>
      </c>
      <c r="I10" s="11" t="str">
        <f aca="false">IF(H10&lt;=Нормативы!$C$4,"норма","превышение")</f>
        <v>норма</v>
      </c>
      <c r="J10" s="11" t="str">
        <f aca="false">IF(AND(E10="норма",G10="норма",I10="норма"),"Проба соответствует","Проба не соответствует")</f>
        <v>Проба соответствует</v>
      </c>
    </row>
    <row r="11" customFormat="false" ht="15" hidden="false" customHeight="false" outlineLevel="0" collapsed="false">
      <c r="A11" s="9" t="str">
        <f aca="false">Данные_ввод!A11</f>
        <v>2026-01-07</v>
      </c>
      <c r="B11" s="9" t="str">
        <f aca="false">Данные_ввод!B11</f>
        <v>S-0010</v>
      </c>
      <c r="C11" s="9" t="str">
        <f aca="false">Данные_ввод!C11</f>
        <v>Точка-2 (резервуар)</v>
      </c>
      <c r="D11" s="10" t="n">
        <f aca="false">(Данные_ввод!D11-Градуировка_Fe!$B$4)/Градуировка_Fe!$B$3</f>
        <v>0.185477128866595</v>
      </c>
      <c r="E11" s="11" t="str">
        <f aca="false">IF(D11&lt;=Нормативы!$C$2,"норма","превышение")</f>
        <v>норма</v>
      </c>
      <c r="F11" s="12" t="n">
        <f aca="false">Данные_ввод!E11</f>
        <v>7.03</v>
      </c>
      <c r="G11" s="11" t="str">
        <f aca="false">IF(AND(F11&gt;=Нормативы!$B$3,F11&lt;=Нормативы!$C$3),"норма","превышение")</f>
        <v>норма</v>
      </c>
      <c r="H11" s="13" t="n">
        <f aca="false">Данные_ввод!G11</f>
        <v>730</v>
      </c>
      <c r="I11" s="11" t="str">
        <f aca="false">IF(H11&lt;=Нормативы!$C$4,"норма","превышение")</f>
        <v>норма</v>
      </c>
      <c r="J11" s="11" t="str">
        <f aca="false">IF(AND(E11="норма",G11="норма",I11="норма"),"Проба соответствует","Проба не соответствует")</f>
        <v>Проба соответствует</v>
      </c>
    </row>
    <row r="12" customFormat="false" ht="15" hidden="false" customHeight="false" outlineLevel="0" collapsed="false">
      <c r="A12" s="9" t="str">
        <f aca="false">Данные_ввод!A12</f>
        <v>2026-01-07</v>
      </c>
      <c r="B12" s="9" t="str">
        <f aca="false">Данные_ввод!B12</f>
        <v>S-0011</v>
      </c>
      <c r="C12" s="9" t="str">
        <f aca="false">Данные_ввод!C12</f>
        <v>Точка-3 (сброс)</v>
      </c>
      <c r="D12" s="10" t="n">
        <f aca="false">(Данные_ввод!D12-Градуировка_Fe!$B$4)/Градуировка_Fe!$B$3</f>
        <v>0.330347545682551</v>
      </c>
      <c r="E12" s="11" t="str">
        <f aca="false">IF(D12&lt;=Нормативы!$C$2,"норма","превышение")</f>
        <v>превышение</v>
      </c>
      <c r="F12" s="12" t="n">
        <f aca="false">Данные_ввод!E12</f>
        <v>6.98</v>
      </c>
      <c r="G12" s="11" t="str">
        <f aca="false">IF(AND(F12&gt;=Нормативы!$B$3,F12&lt;=Нормативы!$C$3),"норма","превышение")</f>
        <v>норма</v>
      </c>
      <c r="H12" s="13" t="n">
        <f aca="false">Данные_ввод!G12</f>
        <v>917</v>
      </c>
      <c r="I12" s="11" t="str">
        <f aca="false">IF(H12&lt;=Нормативы!$C$4,"норма","превышение")</f>
        <v>норма</v>
      </c>
      <c r="J12" s="11" t="str">
        <f aca="false">IF(AND(E12="норма",G12="норма",I12="норма"),"Проба соответствует","Проба не соответствует")</f>
        <v>Проба не соответствует</v>
      </c>
    </row>
    <row r="13" customFormat="false" ht="15" hidden="false" customHeight="false" outlineLevel="0" collapsed="false">
      <c r="A13" s="9" t="str">
        <f aca="false">Данные_ввод!A13</f>
        <v>2026-01-07</v>
      </c>
      <c r="B13" s="9" t="str">
        <f aca="false">Данные_ввод!B13</f>
        <v>S-0012</v>
      </c>
      <c r="C13" s="9" t="str">
        <f aca="false">Данные_ввод!C13</f>
        <v>Точка-2 (резервуар)</v>
      </c>
      <c r="D13" s="10" t="n">
        <f aca="false">(Данные_ввод!D13-Градуировка_Fe!$B$4)/Градуировка_Fe!$B$3</f>
        <v>0.154186074286397</v>
      </c>
      <c r="E13" s="11" t="str">
        <f aca="false">IF(D13&lt;=Нормативы!$C$2,"норма","превышение")</f>
        <v>норма</v>
      </c>
      <c r="F13" s="12" t="n">
        <f aca="false">Данные_ввод!E13</f>
        <v>6.71</v>
      </c>
      <c r="G13" s="11" t="str">
        <f aca="false">IF(AND(F13&gt;=Нормативы!$B$3,F13&lt;=Нормативы!$C$3),"норма","превышение")</f>
        <v>норма</v>
      </c>
      <c r="H13" s="13" t="n">
        <f aca="false">Данные_ввод!G13</f>
        <v>482</v>
      </c>
      <c r="I13" s="11" t="str">
        <f aca="false">IF(H13&lt;=Нормативы!$C$4,"норма","превышение")</f>
        <v>норма</v>
      </c>
      <c r="J13" s="11" t="str">
        <f aca="false">IF(AND(E13="норма",G13="норма",I13="норма"),"Проба соответствует","Проба не соответствует")</f>
        <v>Проба соответствует</v>
      </c>
    </row>
    <row r="14" customFormat="false" ht="15" hidden="false" customHeight="false" outlineLevel="0" collapsed="false">
      <c r="A14" s="9" t="str">
        <f aca="false">Данные_ввод!A14</f>
        <v>2026-01-08</v>
      </c>
      <c r="B14" s="9" t="str">
        <f aca="false">Данные_ввод!B14</f>
        <v>S-0013</v>
      </c>
      <c r="C14" s="9" t="str">
        <f aca="false">Данные_ввод!C14</f>
        <v>Точка-1 (скважина)</v>
      </c>
      <c r="D14" s="10" t="n">
        <f aca="false">(Данные_ввод!D14-Градуировка_Fe!$B$4)/Градуировка_Fe!$B$3</f>
        <v>0.00549384927743939</v>
      </c>
      <c r="E14" s="11" t="str">
        <f aca="false">IF(D14&lt;=Нормативы!$C$2,"норма","превышение")</f>
        <v>норма</v>
      </c>
      <c r="F14" s="12" t="n">
        <f aca="false">Данные_ввод!E14</f>
        <v>7.57</v>
      </c>
      <c r="G14" s="11" t="str">
        <f aca="false">IF(AND(F14&gt;=Нормативы!$B$3,F14&lt;=Нормативы!$C$3),"норма","превышение")</f>
        <v>норма</v>
      </c>
      <c r="H14" s="13" t="n">
        <f aca="false">Данные_ввод!G14</f>
        <v>219</v>
      </c>
      <c r="I14" s="11" t="str">
        <f aca="false">IF(H14&lt;=Нормативы!$C$4,"норма","превышение")</f>
        <v>норма</v>
      </c>
      <c r="J14" s="11" t="str">
        <f aca="false">IF(AND(E14="норма",G14="норма",I14="норма"),"Проба соответствует","Проба не соответствует")</f>
        <v>Проба соответствует</v>
      </c>
    </row>
    <row r="15" customFormat="false" ht="15" hidden="false" customHeight="false" outlineLevel="0" collapsed="false">
      <c r="A15" s="9" t="str">
        <f aca="false">Данные_ввод!A15</f>
        <v>2026-01-08</v>
      </c>
      <c r="B15" s="9" t="str">
        <f aca="false">Данные_ввод!B15</f>
        <v>S-0014</v>
      </c>
      <c r="C15" s="9" t="str">
        <f aca="false">Данные_ввод!C15</f>
        <v>Точка-3 (сброс)</v>
      </c>
      <c r="D15" s="10" t="n">
        <f aca="false">(Данные_ввод!D15-Градуировка_Fe!$B$4)/Градуировка_Fe!$B$3</f>
        <v>0.361399737250687</v>
      </c>
      <c r="E15" s="11" t="str">
        <f aca="false">IF(D15&lt;=Нормативы!$C$2,"норма","превышение")</f>
        <v>превышение</v>
      </c>
      <c r="F15" s="12" t="n">
        <f aca="false">Данные_ввод!E15</f>
        <v>7.6</v>
      </c>
      <c r="G15" s="11" t="str">
        <f aca="false">IF(AND(F15&gt;=Нормативы!$B$3,F15&lt;=Нормативы!$C$3),"норма","превышение")</f>
        <v>норма</v>
      </c>
      <c r="H15" s="13" t="n">
        <f aca="false">Данные_ввод!G15</f>
        <v>366</v>
      </c>
      <c r="I15" s="11" t="str">
        <f aca="false">IF(H15&lt;=Нормативы!$C$4,"норма","превышение")</f>
        <v>норма</v>
      </c>
      <c r="J15" s="11" t="str">
        <f aca="false">IF(AND(E15="норма",G15="норма",I15="норма"),"Проба соответствует","Проба не соответствует")</f>
        <v>Проба не соответствует</v>
      </c>
    </row>
    <row r="16" customFormat="false" ht="15" hidden="false" customHeight="false" outlineLevel="0" collapsed="false">
      <c r="A16" s="9" t="str">
        <f aca="false">Данные_ввод!A16</f>
        <v>2026-01-08</v>
      </c>
      <c r="B16" s="9" t="str">
        <f aca="false">Данные_ввод!B16</f>
        <v>S-0015</v>
      </c>
      <c r="C16" s="9" t="str">
        <f aca="false">Данные_ввод!C16</f>
        <v>Точка-3 (сброс)</v>
      </c>
      <c r="D16" s="10" t="n">
        <f aca="false">(Данные_ввод!D16-Градуировка_Fe!$B$4)/Градуировка_Fe!$B$3</f>
        <v>0.158007882479398</v>
      </c>
      <c r="E16" s="11" t="str">
        <f aca="false">IF(D16&lt;=Нормативы!$C$2,"норма","превышение")</f>
        <v>норма</v>
      </c>
      <c r="F16" s="12" t="n">
        <f aca="false">Данные_ввод!E16</f>
        <v>6.9</v>
      </c>
      <c r="G16" s="11" t="str">
        <f aca="false">IF(AND(F16&gt;=Нормативы!$B$3,F16&lt;=Нормативы!$C$3),"норма","превышение")</f>
        <v>норма</v>
      </c>
      <c r="H16" s="13" t="n">
        <f aca="false">Данные_ввод!G16</f>
        <v>828</v>
      </c>
      <c r="I16" s="11" t="str">
        <f aca="false">IF(H16&lt;=Нормативы!$C$4,"норма","превышение")</f>
        <v>норма</v>
      </c>
      <c r="J16" s="11" t="str">
        <f aca="false">IF(AND(E16="норма",G16="норма",I16="норма"),"Проба соответствует","Проба не соответствует")</f>
        <v>Проба соответствует</v>
      </c>
    </row>
    <row r="17" customFormat="false" ht="15" hidden="false" customHeight="false" outlineLevel="0" collapsed="false">
      <c r="A17" s="9" t="str">
        <f aca="false">Данные_ввод!A17</f>
        <v>2026-01-08</v>
      </c>
      <c r="B17" s="9" t="str">
        <f aca="false">Данные_ввод!B17</f>
        <v>S-0016</v>
      </c>
      <c r="C17" s="9" t="str">
        <f aca="false">Данные_ввод!C17</f>
        <v>Точка-2 (резервуар)</v>
      </c>
      <c r="D17" s="10" t="n">
        <f aca="false">(Данные_ввод!D17-Градуировка_Fe!$B$4)/Градуировка_Fe!$B$3</f>
        <v>0.14522871133405</v>
      </c>
      <c r="E17" s="11" t="str">
        <f aca="false">IF(D17&lt;=Нормативы!$C$2,"норма","превышение")</f>
        <v>норма</v>
      </c>
      <c r="F17" s="12" t="n">
        <f aca="false">Данные_ввод!E17</f>
        <v>7.57</v>
      </c>
      <c r="G17" s="11" t="str">
        <f aca="false">IF(AND(F17&gt;=Нормативы!$B$3,F17&lt;=Нормативы!$C$3),"норма","превышение")</f>
        <v>норма</v>
      </c>
      <c r="H17" s="13" t="n">
        <f aca="false">Данные_ввод!G17</f>
        <v>758</v>
      </c>
      <c r="I17" s="11" t="str">
        <f aca="false">IF(H17&lt;=Нормативы!$C$4,"норма","превышение")</f>
        <v>норма</v>
      </c>
      <c r="J17" s="11" t="str">
        <f aca="false">IF(AND(E17="норма",G17="норма",I17="норма"),"Проба соответствует","Проба не соответствует")</f>
        <v>Проба соответствует</v>
      </c>
    </row>
    <row r="18" customFormat="false" ht="15" hidden="false" customHeight="false" outlineLevel="0" collapsed="false">
      <c r="A18" s="9" t="str">
        <f aca="false">Данные_ввод!A18</f>
        <v>2026-01-09</v>
      </c>
      <c r="B18" s="9" t="str">
        <f aca="false">Данные_ввод!B18</f>
        <v>S-0017</v>
      </c>
      <c r="C18" s="9" t="str">
        <f aca="false">Данные_ввод!C18</f>
        <v>Точка-1 (скважина)</v>
      </c>
      <c r="D18" s="10" t="n">
        <f aca="false">(Данные_ввод!D18-Градуировка_Fe!$B$4)/Градуировка_Fe!$B$3</f>
        <v>0.0232891436761018</v>
      </c>
      <c r="E18" s="11" t="str">
        <f aca="false">IF(D18&lt;=Нормативы!$C$2,"норма","превышение")</f>
        <v>норма</v>
      </c>
      <c r="F18" s="12" t="n">
        <f aca="false">Данные_ввод!E18</f>
        <v>7.23</v>
      </c>
      <c r="G18" s="11" t="str">
        <f aca="false">IF(AND(F18&gt;=Нормативы!$B$3,F18&lt;=Нормативы!$C$3),"норма","превышение")</f>
        <v>норма</v>
      </c>
      <c r="H18" s="13" t="n">
        <f aca="false">Данные_ввод!G18</f>
        <v>835</v>
      </c>
      <c r="I18" s="11" t="str">
        <f aca="false">IF(H18&lt;=Нормативы!$C$4,"норма","превышение")</f>
        <v>норма</v>
      </c>
      <c r="J18" s="11" t="str">
        <f aca="false">IF(AND(E18="норма",G18="норма",I18="норма"),"Проба соответствует","Проба не соответствует")</f>
        <v>Проба соответствует</v>
      </c>
    </row>
    <row r="19" customFormat="false" ht="15" hidden="false" customHeight="false" outlineLevel="0" collapsed="false">
      <c r="A19" s="9" t="str">
        <f aca="false">Данные_ввод!A19</f>
        <v>2026-01-09</v>
      </c>
      <c r="B19" s="9" t="str">
        <f aca="false">Данные_ввод!B19</f>
        <v>S-0018</v>
      </c>
      <c r="C19" s="9" t="str">
        <f aca="false">Данные_ввод!C19</f>
        <v>Точка-3 (сброс)</v>
      </c>
      <c r="D19" s="10" t="n">
        <f aca="false">(Данные_ввод!D19-Градуировка_Fe!$B$4)/Градуировка_Fe!$B$3</f>
        <v>0.253194792786337</v>
      </c>
      <c r="E19" s="11" t="str">
        <f aca="false">IF(D19&lt;=Нормативы!$C$2,"норма","превышение")</f>
        <v>норма</v>
      </c>
      <c r="F19" s="12" t="n">
        <f aca="false">Данные_ввод!E19</f>
        <v>6.94</v>
      </c>
      <c r="G19" s="11" t="str">
        <f aca="false">IF(AND(F19&gt;=Нормативы!$B$3,F19&lt;=Нормативы!$C$3),"норма","превышение")</f>
        <v>норма</v>
      </c>
      <c r="H19" s="13" t="n">
        <f aca="false">Данные_ввод!G19</f>
        <v>710</v>
      </c>
      <c r="I19" s="11" t="str">
        <f aca="false">IF(H19&lt;=Нормативы!$C$4,"норма","превышение")</f>
        <v>норма</v>
      </c>
      <c r="J19" s="11" t="str">
        <f aca="false">IF(AND(E19="норма",G19="норма",I19="норма"),"Проба соответствует","Проба не соответствует")</f>
        <v>Проба соответствует</v>
      </c>
    </row>
    <row r="20" customFormat="false" ht="15" hidden="false" customHeight="false" outlineLevel="0" collapsed="false">
      <c r="A20" s="9" t="str">
        <f aca="false">Данные_ввод!A20</f>
        <v>2026-01-09</v>
      </c>
      <c r="B20" s="9" t="str">
        <f aca="false">Данные_ввод!B20</f>
        <v>S-0019</v>
      </c>
      <c r="C20" s="9" t="str">
        <f aca="false">Данные_ввод!C20</f>
        <v>Точка-1 (скважина)</v>
      </c>
      <c r="D20" s="10" t="n">
        <f aca="false">(Данные_ввод!D20-Градуировка_Fe!$B$4)/Градуировка_Fe!$B$3</f>
        <v>0.0324853696405112</v>
      </c>
      <c r="E20" s="11" t="str">
        <f aca="false">IF(D20&lt;=Нормативы!$C$2,"норма","превышение")</f>
        <v>норма</v>
      </c>
      <c r="F20" s="12" t="n">
        <f aca="false">Данные_ввод!E20</f>
        <v>7.46</v>
      </c>
      <c r="G20" s="11" t="str">
        <f aca="false">IF(AND(F20&gt;=Нормативы!$B$3,F20&lt;=Нормативы!$C$3),"норма","превышение")</f>
        <v>норма</v>
      </c>
      <c r="H20" s="13" t="n">
        <f aca="false">Данные_ввод!G20</f>
        <v>656</v>
      </c>
      <c r="I20" s="11" t="str">
        <f aca="false">IF(H20&lt;=Нормативы!$C$4,"норма","превышение")</f>
        <v>норма</v>
      </c>
      <c r="J20" s="11" t="str">
        <f aca="false">IF(AND(E20="норма",G20="норма",I20="норма"),"Проба соответствует","Проба не соответствует")</f>
        <v>Проба соответствует</v>
      </c>
    </row>
    <row r="21" customFormat="false" ht="15" hidden="false" customHeight="false" outlineLevel="0" collapsed="false">
      <c r="A21" s="9" t="str">
        <f aca="false">Данные_ввод!A21</f>
        <v>2026-01-09</v>
      </c>
      <c r="B21" s="9" t="str">
        <f aca="false">Данные_ввод!B21</f>
        <v>S-0020</v>
      </c>
      <c r="C21" s="9" t="str">
        <f aca="false">Данные_ввод!C21</f>
        <v>Точка-3 (сброс)</v>
      </c>
      <c r="D21" s="10" t="n">
        <f aca="false">(Данные_ввод!D21-Градуировка_Fe!$B$4)/Градуировка_Fe!$B$3</f>
        <v>0.187268601457064</v>
      </c>
      <c r="E21" s="11" t="str">
        <f aca="false">IF(D21&lt;=Нормативы!$C$2,"норма","превышение")</f>
        <v>норма</v>
      </c>
      <c r="F21" s="12" t="n">
        <f aca="false">Данные_ввод!E21</f>
        <v>6.95</v>
      </c>
      <c r="G21" s="11" t="str">
        <f aca="false">IF(AND(F21&gt;=Нормативы!$B$3,F21&lt;=Нормативы!$C$3),"норма","превышение")</f>
        <v>норма</v>
      </c>
      <c r="H21" s="13" t="n">
        <f aca="false">Данные_ввод!G21</f>
        <v>698</v>
      </c>
      <c r="I21" s="11" t="str">
        <f aca="false">IF(H21&lt;=Нормативы!$C$4,"норма","превышение")</f>
        <v>норма</v>
      </c>
      <c r="J21" s="11" t="str">
        <f aca="false">IF(AND(E21="норма",G21="норма",I21="норма"),"Проба соответствует","Проба не соответствует")</f>
        <v>Проба соответствует</v>
      </c>
    </row>
    <row r="22" customFormat="false" ht="15" hidden="false" customHeight="false" outlineLevel="0" collapsed="false">
      <c r="A22" s="9" t="str">
        <f aca="false">Данные_ввод!A22</f>
        <v>2026-01-12</v>
      </c>
      <c r="B22" s="9" t="str">
        <f aca="false">Данные_ввод!B22</f>
        <v>S-0021</v>
      </c>
      <c r="C22" s="9" t="str">
        <f aca="false">Данные_ввод!C22</f>
        <v>Точка-2 (резервуар)</v>
      </c>
      <c r="D22" s="10" t="n">
        <f aca="false">(Данные_ввод!D22-Градуировка_Fe!$B$4)/Градуировка_Fe!$B$3</f>
        <v>0.209482861578885</v>
      </c>
      <c r="E22" s="11" t="str">
        <f aca="false">IF(D22&lt;=Нормативы!$C$2,"норма","превышение")</f>
        <v>норма</v>
      </c>
      <c r="F22" s="12" t="n">
        <f aca="false">Данные_ввод!E22</f>
        <v>7.68</v>
      </c>
      <c r="G22" s="11" t="str">
        <f aca="false">IF(AND(F22&gt;=Нормативы!$B$3,F22&lt;=Нормативы!$C$3),"норма","превышение")</f>
        <v>норма</v>
      </c>
      <c r="H22" s="13" t="n">
        <f aca="false">Данные_ввод!G22</f>
        <v>559</v>
      </c>
      <c r="I22" s="11" t="str">
        <f aca="false">IF(H22&lt;=Нормативы!$C$4,"норма","превышение")</f>
        <v>норма</v>
      </c>
      <c r="J22" s="11" t="str">
        <f aca="false">IF(AND(E22="норма",G22="норма",I22="норма"),"Проба соответствует","Проба не соответствует")</f>
        <v>Проба соответствует</v>
      </c>
    </row>
    <row r="23" customFormat="false" ht="15" hidden="false" customHeight="false" outlineLevel="0" collapsed="false">
      <c r="A23" s="9" t="str">
        <f aca="false">Данные_ввод!A23</f>
        <v>2026-01-12</v>
      </c>
      <c r="B23" s="9" t="str">
        <f aca="false">Данные_ввод!B23</f>
        <v>S-0022</v>
      </c>
      <c r="C23" s="9" t="str">
        <f aca="false">Данные_ввод!C23</f>
        <v>Точка-1 (скважина)</v>
      </c>
      <c r="D23" s="10" t="n">
        <f aca="false">(Данные_ввод!D23-Градуировка_Fe!$B$4)/Градуировка_Fe!$B$3</f>
        <v>0.12396990326048</v>
      </c>
      <c r="E23" s="11" t="str">
        <f aca="false">IF(D23&lt;=Нормативы!$C$2,"норма","превышение")</f>
        <v>норма</v>
      </c>
      <c r="F23" s="12" t="n">
        <f aca="false">Данные_ввод!E23</f>
        <v>6.96</v>
      </c>
      <c r="G23" s="11" t="str">
        <f aca="false">IF(AND(F23&gt;=Нормативы!$B$3,F23&lt;=Нормативы!$C$3),"норма","превышение")</f>
        <v>норма</v>
      </c>
      <c r="H23" s="13" t="n">
        <f aca="false">Данные_ввод!G23</f>
        <v>930</v>
      </c>
      <c r="I23" s="11" t="str">
        <f aca="false">IF(H23&lt;=Нормативы!$C$4,"норма","превышение")</f>
        <v>норма</v>
      </c>
      <c r="J23" s="11" t="str">
        <f aca="false">IF(AND(E23="норма",G23="норма",I23="норма"),"Проба соответствует","Проба не соответствует")</f>
        <v>Проба соответствует</v>
      </c>
    </row>
    <row r="24" customFormat="false" ht="15" hidden="false" customHeight="false" outlineLevel="0" collapsed="false">
      <c r="A24" s="9" t="str">
        <f aca="false">Данные_ввод!A24</f>
        <v>2026-01-12</v>
      </c>
      <c r="B24" s="9" t="str">
        <f aca="false">Данные_ввод!B24</f>
        <v>S-0023</v>
      </c>
      <c r="C24" s="9" t="str">
        <f aca="false">Данные_ввод!C24</f>
        <v>Точка-1 (скважина)</v>
      </c>
      <c r="D24" s="10" t="n">
        <f aca="false">(Данные_ввод!D24-Градуировка_Fe!$B$4)/Градуировка_Fe!$B$3</f>
        <v>0.21091603965126</v>
      </c>
      <c r="E24" s="11" t="str">
        <f aca="false">IF(D24&lt;=Нормативы!$C$2,"норма","превышение")</f>
        <v>норма</v>
      </c>
      <c r="F24" s="12" t="n">
        <f aca="false">Данные_ввод!E24</f>
        <v>8.04</v>
      </c>
      <c r="G24" s="11" t="str">
        <f aca="false">IF(AND(F24&gt;=Нормативы!$B$3,F24&lt;=Нормативы!$C$3),"норма","превышение")</f>
        <v>норма</v>
      </c>
      <c r="H24" s="13" t="n">
        <f aca="false">Данные_ввод!G24</f>
        <v>698</v>
      </c>
      <c r="I24" s="11" t="str">
        <f aca="false">IF(H24&lt;=Нормативы!$C$4,"норма","превышение")</f>
        <v>норма</v>
      </c>
      <c r="J24" s="11" t="str">
        <f aca="false">IF(AND(E24="норма",G24="норма",I24="норма"),"Проба соответствует","Проба не соответствует")</f>
        <v>Проба соответствует</v>
      </c>
    </row>
    <row r="25" customFormat="false" ht="15" hidden="false" customHeight="false" outlineLevel="0" collapsed="false">
      <c r="A25" s="9" t="str">
        <f aca="false">Данные_ввод!A25</f>
        <v>2026-01-12</v>
      </c>
      <c r="B25" s="9" t="str">
        <f aca="false">Данные_ввод!B25</f>
        <v>S-0024</v>
      </c>
      <c r="C25" s="9" t="str">
        <f aca="false">Данные_ввод!C25</f>
        <v>Точка-3 (сброс)</v>
      </c>
      <c r="D25" s="10" t="n">
        <f aca="false">(Данные_ввод!D25-Градуировка_Fe!$B$4)/Градуировка_Fe!$B$3</f>
        <v>0.307655559536606</v>
      </c>
      <c r="E25" s="11" t="str">
        <f aca="false">IF(D25&lt;=Нормативы!$C$2,"норма","превышение")</f>
        <v>превышение</v>
      </c>
      <c r="F25" s="12" t="n">
        <f aca="false">Данные_ввод!E25</f>
        <v>7</v>
      </c>
      <c r="G25" s="11" t="str">
        <f aca="false">IF(AND(F25&gt;=Нормативы!$B$3,F25&lt;=Нормативы!$C$3),"норма","превышение")</f>
        <v>норма</v>
      </c>
      <c r="H25" s="13" t="n">
        <f aca="false">Данные_ввод!G25</f>
        <v>684</v>
      </c>
      <c r="I25" s="11" t="str">
        <f aca="false">IF(H25&lt;=Нормативы!$C$4,"норма","превышение")</f>
        <v>норма</v>
      </c>
      <c r="J25" s="11" t="str">
        <f aca="false">IF(AND(E25="норма",G25="норма",I25="норма"),"Проба соответствует","Проба не соответствует")</f>
        <v>Проба не соответствует</v>
      </c>
    </row>
    <row r="26" customFormat="false" ht="15" hidden="false" customHeight="false" outlineLevel="0" collapsed="false">
      <c r="A26" s="9" t="str">
        <f aca="false">Данные_ввод!A26</f>
        <v>2026-01-13</v>
      </c>
      <c r="B26" s="9" t="str">
        <f aca="false">Данные_ввод!B26</f>
        <v>S-0025</v>
      </c>
      <c r="C26" s="9" t="str">
        <f aca="false">Данные_ввод!C26</f>
        <v>Точка-1 (скважина)</v>
      </c>
      <c r="D26" s="10" t="n">
        <f aca="false">(Данные_ввод!D26-Градуировка_Fe!$B$4)/Градуировка_Fe!$B$3</f>
        <v>0.0248417532545085</v>
      </c>
      <c r="E26" s="11" t="str">
        <f aca="false">IF(D26&lt;=Нормативы!$C$2,"норма","превышение")</f>
        <v>норма</v>
      </c>
      <c r="F26" s="12" t="n">
        <f aca="false">Данные_ввод!E26</f>
        <v>8.69</v>
      </c>
      <c r="G26" s="11" t="str">
        <f aca="false">IF(AND(F26&gt;=Нормативы!$B$3,F26&lt;=Нормативы!$C$3),"норма","превышение")</f>
        <v>норма</v>
      </c>
      <c r="H26" s="13" t="n">
        <f aca="false">Данные_ввод!G26</f>
        <v>831</v>
      </c>
      <c r="I26" s="11" t="str">
        <f aca="false">IF(H26&lt;=Нормативы!$C$4,"норма","превышение")</f>
        <v>норма</v>
      </c>
      <c r="J26" s="11" t="str">
        <f aca="false">IF(AND(E26="норма",G26="норма",I26="норма"),"Проба соответствует","Проба не соответствует")</f>
        <v>Проба соответствует</v>
      </c>
    </row>
    <row r="27" customFormat="false" ht="15" hidden="false" customHeight="false" outlineLevel="0" collapsed="false">
      <c r="A27" s="9" t="str">
        <f aca="false">Данные_ввод!A27</f>
        <v>2026-01-13</v>
      </c>
      <c r="B27" s="9" t="str">
        <f aca="false">Данные_ввод!B27</f>
        <v>S-0026</v>
      </c>
      <c r="C27" s="9" t="str">
        <f aca="false">Данные_ввод!C27</f>
        <v>Точка-1 (скважина)</v>
      </c>
      <c r="D27" s="10" t="n">
        <f aca="false">(Данные_ввод!D27-Градуировка_Fe!$B$4)/Градуировка_Fe!$B$3</f>
        <v>0.057446554401051</v>
      </c>
      <c r="E27" s="11" t="str">
        <f aca="false">IF(D27&lt;=Нормативы!$C$2,"норма","превышение")</f>
        <v>норма</v>
      </c>
      <c r="F27" s="12" t="n">
        <f aca="false">Данные_ввод!E27</f>
        <v>6.58</v>
      </c>
      <c r="G27" s="11" t="str">
        <f aca="false">IF(AND(F27&gt;=Нормативы!$B$3,F27&lt;=Нормативы!$C$3),"норма","превышение")</f>
        <v>норма</v>
      </c>
      <c r="H27" s="13" t="n">
        <f aca="false">Данные_ввод!G27</f>
        <v>568</v>
      </c>
      <c r="I27" s="11" t="str">
        <f aca="false">IF(H27&lt;=Нормативы!$C$4,"норма","превышение")</f>
        <v>норма</v>
      </c>
      <c r="J27" s="11" t="str">
        <f aca="false">IF(AND(E27="норма",G27="норма",I27="норма"),"Проба соответствует","Проба не соответствует")</f>
        <v>Проба соответствует</v>
      </c>
    </row>
    <row r="28" customFormat="false" ht="15" hidden="false" customHeight="false" outlineLevel="0" collapsed="false">
      <c r="A28" s="9" t="str">
        <f aca="false">Данные_ввод!A28</f>
        <v>2026-01-13</v>
      </c>
      <c r="B28" s="9" t="str">
        <f aca="false">Данные_ввод!B28</f>
        <v>S-0027</v>
      </c>
      <c r="C28" s="9" t="str">
        <f aca="false">Данные_ввод!C28</f>
        <v>Точка-3 (сброс)</v>
      </c>
      <c r="D28" s="10" t="n">
        <f aca="false">(Данные_ввод!D28-Градуировка_Fe!$B$4)/Градуировка_Fe!$B$3</f>
        <v>0.101994506150723</v>
      </c>
      <c r="E28" s="11" t="str">
        <f aca="false">IF(D28&lt;=Нормативы!$C$2,"норма","превышение")</f>
        <v>норма</v>
      </c>
      <c r="F28" s="12" t="n">
        <f aca="false">Данные_ввод!E28</f>
        <v>6.25</v>
      </c>
      <c r="G28" s="11" t="str">
        <f aca="false">IF(AND(F28&gt;=Нормативы!$B$3,F28&lt;=Нормативы!$C$3),"норма","превышение")</f>
        <v>норма</v>
      </c>
      <c r="H28" s="13" t="n">
        <f aca="false">Данные_ввод!G28</f>
        <v>781</v>
      </c>
      <c r="I28" s="11" t="str">
        <f aca="false">IF(H28&lt;=Нормативы!$C$4,"норма","превышение")</f>
        <v>норма</v>
      </c>
      <c r="J28" s="11" t="str">
        <f aca="false">IF(AND(E28="норма",G28="норма",I28="норма"),"Проба соответствует","Проба не соответствует")</f>
        <v>Проба соответствует</v>
      </c>
    </row>
    <row r="29" customFormat="false" ht="15" hidden="false" customHeight="false" outlineLevel="0" collapsed="false">
      <c r="A29" s="9" t="str">
        <f aca="false">Данные_ввод!A29</f>
        <v>2026-01-13</v>
      </c>
      <c r="B29" s="9" t="str">
        <f aca="false">Данные_ввод!B29</f>
        <v>S-0028</v>
      </c>
      <c r="C29" s="9" t="str">
        <f aca="false">Данные_ввод!C29</f>
        <v>Точка-1 (скважина)</v>
      </c>
      <c r="D29" s="10" t="n">
        <f aca="false">(Данные_ввод!D29-Градуировка_Fe!$B$4)/Градуировка_Fe!$B$3</f>
        <v>0.148095067478801</v>
      </c>
      <c r="E29" s="11" t="str">
        <f aca="false">IF(D29&lt;=Нормативы!$C$2,"норма","превышение")</f>
        <v>норма</v>
      </c>
      <c r="F29" s="12" t="n">
        <f aca="false">Данные_ввод!E29</f>
        <v>8.14</v>
      </c>
      <c r="G29" s="11" t="str">
        <f aca="false">IF(AND(F29&gt;=Нормативы!$B$3,F29&lt;=Нормативы!$C$3),"норма","превышение")</f>
        <v>норма</v>
      </c>
      <c r="H29" s="13" t="n">
        <f aca="false">Данные_ввод!G29</f>
        <v>771</v>
      </c>
      <c r="I29" s="11" t="str">
        <f aca="false">IF(H29&lt;=Нормативы!$C$4,"норма","превышение")</f>
        <v>норма</v>
      </c>
      <c r="J29" s="11" t="str">
        <f aca="false">IF(AND(E29="норма",G29="норма",I29="норма"),"Проба соответствует","Проба не соответствует")</f>
        <v>Проба соответствует</v>
      </c>
    </row>
    <row r="30" customFormat="false" ht="15" hidden="false" customHeight="false" outlineLevel="0" collapsed="false">
      <c r="A30" s="9" t="str">
        <f aca="false">Данные_ввод!A30</f>
        <v>2026-01-14</v>
      </c>
      <c r="B30" s="9" t="str">
        <f aca="false">Данные_ввод!B30</f>
        <v>S-0029</v>
      </c>
      <c r="C30" s="9" t="str">
        <f aca="false">Данные_ввод!C30</f>
        <v>Точка-2 (резервуар)</v>
      </c>
      <c r="D30" s="10" t="n">
        <f aca="false">(Данные_ввод!D30-Градуировка_Fe!$B$4)/Градуировка_Fe!$B$3</f>
        <v>0.274811895378001</v>
      </c>
      <c r="E30" s="11" t="str">
        <f aca="false">IF(D30&lt;=Нормативы!$C$2,"норма","превышение")</f>
        <v>норма</v>
      </c>
      <c r="F30" s="12" t="n">
        <f aca="false">Данные_ввод!E30</f>
        <v>7.15</v>
      </c>
      <c r="G30" s="11" t="str">
        <f aca="false">IF(AND(F30&gt;=Нормативы!$B$3,F30&lt;=Нормативы!$C$3),"норма","превышение")</f>
        <v>норма</v>
      </c>
      <c r="H30" s="13" t="n">
        <f aca="false">Данные_ввод!G30</f>
        <v>572</v>
      </c>
      <c r="I30" s="11" t="str">
        <f aca="false">IF(H30&lt;=Нормативы!$C$4,"норма","превышение")</f>
        <v>норма</v>
      </c>
      <c r="J30" s="11" t="str">
        <f aca="false">IF(AND(E30="норма",G30="норма",I30="норма"),"Проба соответствует","Проба не соответствует")</f>
        <v>Проба соответствует</v>
      </c>
    </row>
    <row r="31" customFormat="false" ht="15" hidden="false" customHeight="false" outlineLevel="0" collapsed="false">
      <c r="A31" s="9" t="str">
        <f aca="false">Данные_ввод!A31</f>
        <v>2026-01-14</v>
      </c>
      <c r="B31" s="9" t="str">
        <f aca="false">Данные_ввод!B31</f>
        <v>S-0030</v>
      </c>
      <c r="C31" s="9" t="str">
        <f aca="false">Данные_ввод!C31</f>
        <v>Точка-3 (сброс)</v>
      </c>
      <c r="D31" s="10" t="n">
        <f aca="false">(Данные_ввод!D31-Градуировка_Fe!$B$4)/Градуировка_Fe!$B$3</f>
        <v>0.2358772244118</v>
      </c>
      <c r="E31" s="11" t="str">
        <f aca="false">IF(D31&lt;=Нормативы!$C$2,"норма","превышение")</f>
        <v>норма</v>
      </c>
      <c r="F31" s="12" t="n">
        <f aca="false">Данные_ввод!E31</f>
        <v>7.81</v>
      </c>
      <c r="G31" s="11" t="str">
        <f aca="false">IF(AND(F31&gt;=Нормативы!$B$3,F31&lt;=Нормативы!$C$3),"норма","превышение")</f>
        <v>норма</v>
      </c>
      <c r="H31" s="13" t="n">
        <f aca="false">Данные_ввод!G31</f>
        <v>743</v>
      </c>
      <c r="I31" s="11" t="str">
        <f aca="false">IF(H31&lt;=Нормативы!$C$4,"норма","превышение")</f>
        <v>норма</v>
      </c>
      <c r="J31" s="11" t="str">
        <f aca="false">IF(AND(E31="норма",G31="норма",I31="норма"),"Проба соответствует","Проба не соответствует")</f>
        <v>Проба соответствует</v>
      </c>
    </row>
    <row r="32" customFormat="false" ht="15" hidden="false" customHeight="false" outlineLevel="0" collapsed="false">
      <c r="A32" s="9" t="str">
        <f aca="false">Данные_ввод!A32</f>
        <v>2026-01-14</v>
      </c>
      <c r="B32" s="9" t="str">
        <f aca="false">Данные_ввод!B32</f>
        <v>S-0031</v>
      </c>
      <c r="C32" s="9" t="str">
        <f aca="false">Данные_ввод!C32</f>
        <v>Точка-1 (скважина)</v>
      </c>
      <c r="D32" s="10" t="n">
        <f aca="false">(Данные_ввод!D32-Градуировка_Fe!$B$4)/Градуировка_Fe!$B$3</f>
        <v>0.179386122058999</v>
      </c>
      <c r="E32" s="11" t="str">
        <f aca="false">IF(D32&lt;=Нормативы!$C$2,"норма","превышение")</f>
        <v>норма</v>
      </c>
      <c r="F32" s="12" t="n">
        <f aca="false">Данные_ввод!E32</f>
        <v>5.91</v>
      </c>
      <c r="G32" s="11" t="str">
        <f aca="false">IF(AND(F32&gt;=Нормативы!$B$3,F32&lt;=Нормативы!$C$3),"норма","превышение")</f>
        <v>превышение</v>
      </c>
      <c r="H32" s="13" t="n">
        <f aca="false">Данные_ввод!G32</f>
        <v>700</v>
      </c>
      <c r="I32" s="11" t="str">
        <f aca="false">IF(H32&lt;=Нормативы!$C$4,"норма","превышение")</f>
        <v>норма</v>
      </c>
      <c r="J32" s="11" t="str">
        <f aca="false">IF(AND(E32="норма",G32="норма",I32="норма"),"Проба соответствует","Проба не соответствует")</f>
        <v>Проба не соответствует</v>
      </c>
    </row>
    <row r="33" customFormat="false" ht="15" hidden="false" customHeight="false" outlineLevel="0" collapsed="false">
      <c r="A33" s="9" t="str">
        <f aca="false">Данные_ввод!A33</f>
        <v>2026-01-14</v>
      </c>
      <c r="B33" s="9" t="str">
        <f aca="false">Данные_ввод!B33</f>
        <v>S-0032</v>
      </c>
      <c r="C33" s="9" t="str">
        <f aca="false">Данные_ввод!C33</f>
        <v>Точка-3 (сброс)</v>
      </c>
      <c r="D33" s="10" t="n">
        <f aca="false">(Данные_ввод!D33-Градуировка_Fe!$B$4)/Градуировка_Fe!$B$3</f>
        <v>0.153827779768303</v>
      </c>
      <c r="E33" s="11" t="str">
        <f aca="false">IF(D33&lt;=Нормативы!$C$2,"норма","превышение")</f>
        <v>норма</v>
      </c>
      <c r="F33" s="12" t="n">
        <f aca="false">Данные_ввод!E33</f>
        <v>7.57</v>
      </c>
      <c r="G33" s="11" t="str">
        <f aca="false">IF(AND(F33&gt;=Нормативы!$B$3,F33&lt;=Нормативы!$C$3),"норма","превышение")</f>
        <v>норма</v>
      </c>
      <c r="H33" s="13" t="n">
        <f aca="false">Данные_ввод!G33</f>
        <v>712</v>
      </c>
      <c r="I33" s="11" t="str">
        <f aca="false">IF(H33&lt;=Нормативы!$C$4,"норма","превышение")</f>
        <v>норма</v>
      </c>
      <c r="J33" s="11" t="str">
        <f aca="false">IF(AND(E33="норма",G33="норма",I33="норма"),"Проба соответствует","Проба не соответствует")</f>
        <v>Проба соответствует</v>
      </c>
    </row>
    <row r="34" customFormat="false" ht="15" hidden="false" customHeight="false" outlineLevel="0" collapsed="false">
      <c r="A34" s="9" t="str">
        <f aca="false">Данные_ввод!A34</f>
        <v>2026-01-15</v>
      </c>
      <c r="B34" s="9" t="str">
        <f aca="false">Данные_ввод!B34</f>
        <v>S-0033</v>
      </c>
      <c r="C34" s="9" t="str">
        <f aca="false">Данные_ввод!C34</f>
        <v>Точка-3 (сброс)</v>
      </c>
      <c r="D34" s="10" t="n">
        <f aca="false">(Данные_ввод!D34-Градуировка_Fe!$B$4)/Градуировка_Fe!$B$3</f>
        <v>0.0784664994625582</v>
      </c>
      <c r="E34" s="11" t="str">
        <f aca="false">IF(D34&lt;=Нормативы!$C$2,"норма","превышение")</f>
        <v>норма</v>
      </c>
      <c r="F34" s="12" t="n">
        <f aca="false">Данные_ввод!E34</f>
        <v>8.47</v>
      </c>
      <c r="G34" s="11" t="str">
        <f aca="false">IF(AND(F34&gt;=Нормативы!$B$3,F34&lt;=Нормативы!$C$3),"норма","превышение")</f>
        <v>норма</v>
      </c>
      <c r="H34" s="13" t="n">
        <f aca="false">Данные_ввод!G34</f>
        <v>758</v>
      </c>
      <c r="I34" s="11" t="str">
        <f aca="false">IF(H34&lt;=Нормативы!$C$4,"норма","превышение")</f>
        <v>норма</v>
      </c>
      <c r="J34" s="11" t="str">
        <f aca="false">IF(AND(E34="норма",G34="норма",I34="норма"),"Проба соответствует","Проба не соответствует")</f>
        <v>Проба соответствует</v>
      </c>
    </row>
    <row r="35" customFormat="false" ht="15" hidden="false" customHeight="false" outlineLevel="0" collapsed="false">
      <c r="A35" s="9" t="str">
        <f aca="false">Данные_ввод!A35</f>
        <v>2026-01-15</v>
      </c>
      <c r="B35" s="9" t="str">
        <f aca="false">Данные_ввод!B35</f>
        <v>S-0034</v>
      </c>
      <c r="C35" s="9" t="str">
        <f aca="false">Данные_ввод!C35</f>
        <v>Точка-2 (резервуар)</v>
      </c>
      <c r="D35" s="10" t="n">
        <f aca="false">(Данные_ввод!D35-Градуировка_Fe!$B$4)/Градуировка_Fe!$B$3</f>
        <v>0.139854293562642</v>
      </c>
      <c r="E35" s="11" t="str">
        <f aca="false">IF(D35&lt;=Нормативы!$C$2,"норма","превышение")</f>
        <v>норма</v>
      </c>
      <c r="F35" s="12" t="n">
        <f aca="false">Данные_ввод!E35</f>
        <v>6.79</v>
      </c>
      <c r="G35" s="11" t="str">
        <f aca="false">IF(AND(F35&gt;=Нормативы!$B$3,F35&lt;=Нормативы!$C$3),"норма","превышение")</f>
        <v>норма</v>
      </c>
      <c r="H35" s="13" t="n">
        <f aca="false">Данные_ввод!G35</f>
        <v>521</v>
      </c>
      <c r="I35" s="11" t="str">
        <f aca="false">IF(H35&lt;=Нормативы!$C$4,"норма","превышение")</f>
        <v>норма</v>
      </c>
      <c r="J35" s="11" t="str">
        <f aca="false">IF(AND(E35="норма",G35="норма",I35="норма"),"Проба соответствует","Проба не соответствует")</f>
        <v>Проба соответствует</v>
      </c>
    </row>
    <row r="36" customFormat="false" ht="15" hidden="false" customHeight="false" outlineLevel="0" collapsed="false">
      <c r="A36" s="9" t="str">
        <f aca="false">Данные_ввод!A36</f>
        <v>2026-01-15</v>
      </c>
      <c r="B36" s="9" t="str">
        <f aca="false">Данные_ввод!B36</f>
        <v>S-0035</v>
      </c>
      <c r="C36" s="9" t="str">
        <f aca="false">Данные_ввод!C36</f>
        <v>Точка-2 (резервуар)</v>
      </c>
      <c r="D36" s="10" t="n">
        <f aca="false">(Данные_ввод!D36-Градуировка_Fe!$B$4)/Градуировка_Fe!$B$3</f>
        <v>0.264899080377404</v>
      </c>
      <c r="E36" s="11" t="str">
        <f aca="false">IF(D36&lt;=Нормативы!$C$2,"норма","превышение")</f>
        <v>норма</v>
      </c>
      <c r="F36" s="12" t="n">
        <f aca="false">Данные_ввод!E36</f>
        <v>7.25</v>
      </c>
      <c r="G36" s="11" t="str">
        <f aca="false">IF(AND(F36&gt;=Нормативы!$B$3,F36&lt;=Нормативы!$C$3),"норма","превышение")</f>
        <v>норма</v>
      </c>
      <c r="H36" s="13" t="n">
        <f aca="false">Данные_ввод!G36</f>
        <v>622</v>
      </c>
      <c r="I36" s="11" t="str">
        <f aca="false">IF(H36&lt;=Нормативы!$C$4,"норма","превышение")</f>
        <v>норма</v>
      </c>
      <c r="J36" s="11" t="str">
        <f aca="false">IF(AND(E36="норма",G36="норма",I36="норма"),"Проба соответствует","Проба не соответствует")</f>
        <v>Проба соответствует</v>
      </c>
    </row>
    <row r="37" customFormat="false" ht="15" hidden="false" customHeight="false" outlineLevel="0" collapsed="false">
      <c r="A37" s="9" t="str">
        <f aca="false">Данные_ввод!A37</f>
        <v>2026-01-15</v>
      </c>
      <c r="B37" s="9" t="str">
        <f aca="false">Данные_ввод!B37</f>
        <v>S-0036</v>
      </c>
      <c r="C37" s="9" t="str">
        <f aca="false">Данные_ввод!C37</f>
        <v>Точка-3 (сброс)</v>
      </c>
      <c r="D37" s="10" t="n">
        <f aca="false">(Данные_ввод!D37-Градуировка_Fe!$B$4)/Градуировка_Fe!$B$3</f>
        <v>0.224650662844858</v>
      </c>
      <c r="E37" s="11" t="str">
        <f aca="false">IF(D37&lt;=Нормативы!$C$2,"норма","превышение")</f>
        <v>норма</v>
      </c>
      <c r="F37" s="12" t="n">
        <f aca="false">Данные_ввод!E37</f>
        <v>7.28</v>
      </c>
      <c r="G37" s="11" t="str">
        <f aca="false">IF(AND(F37&gt;=Нормативы!$B$3,F37&lt;=Нормативы!$C$3),"норма","превышение")</f>
        <v>норма</v>
      </c>
      <c r="H37" s="13" t="n">
        <f aca="false">Данные_ввод!G37</f>
        <v>812</v>
      </c>
      <c r="I37" s="11" t="str">
        <f aca="false">IF(H37&lt;=Нормативы!$C$4,"норма","превышение")</f>
        <v>норма</v>
      </c>
      <c r="J37" s="11" t="str">
        <f aca="false">IF(AND(E37="норма",G37="норма",I37="норма"),"Проба соответствует","Проба не соответствует")</f>
        <v>Проба соответствует</v>
      </c>
    </row>
    <row r="38" customFormat="false" ht="15" hidden="false" customHeight="false" outlineLevel="0" collapsed="false">
      <c r="A38" s="9" t="str">
        <f aca="false">Данные_ввод!A38</f>
        <v>2026-01-16</v>
      </c>
      <c r="B38" s="9" t="str">
        <f aca="false">Данные_ввод!B38</f>
        <v>S-0037</v>
      </c>
      <c r="C38" s="9" t="str">
        <f aca="false">Данные_ввод!C38</f>
        <v>Точка-3 (сброс)</v>
      </c>
      <c r="D38" s="10" t="n">
        <f aca="false">(Данные_ввод!D38-Градуировка_Fe!$B$4)/Градуировка_Fe!$B$3</f>
        <v>0.164815478323182</v>
      </c>
      <c r="E38" s="11" t="str">
        <f aca="false">IF(D38&lt;=Нормативы!$C$2,"норма","превышение")</f>
        <v>норма</v>
      </c>
      <c r="F38" s="12" t="n">
        <f aca="false">Данные_ввод!E38</f>
        <v>7.68</v>
      </c>
      <c r="G38" s="11" t="str">
        <f aca="false">IF(AND(F38&gt;=Нормативы!$B$3,F38&lt;=Нормативы!$C$3),"норма","превышение")</f>
        <v>норма</v>
      </c>
      <c r="H38" s="13" t="n">
        <f aca="false">Данные_ввод!G38</f>
        <v>767</v>
      </c>
      <c r="I38" s="11" t="str">
        <f aca="false">IF(H38&lt;=Нормативы!$C$4,"норма","превышение")</f>
        <v>норма</v>
      </c>
      <c r="J38" s="11" t="str">
        <f aca="false">IF(AND(E38="норма",G38="норма",I38="норма"),"Проба соответствует","Проба не соответствует")</f>
        <v>Проба соответствует</v>
      </c>
    </row>
    <row r="39" customFormat="false" ht="15" hidden="false" customHeight="false" outlineLevel="0" collapsed="false">
      <c r="A39" s="9" t="str">
        <f aca="false">Данные_ввод!A39</f>
        <v>2026-01-16</v>
      </c>
      <c r="B39" s="9" t="str">
        <f aca="false">Данные_ввод!B39</f>
        <v>S-0038</v>
      </c>
      <c r="C39" s="9" t="str">
        <f aca="false">Данные_ввод!C39</f>
        <v>Точка-2 (резервуар)</v>
      </c>
      <c r="D39" s="10" t="n">
        <f aca="false">(Данные_ввод!D39-Градуировка_Fe!$B$4)/Градуировка_Fe!$B$3</f>
        <v>0.147497909948644</v>
      </c>
      <c r="E39" s="11" t="str">
        <f aca="false">IF(D39&lt;=Нормативы!$C$2,"норма","превышение")</f>
        <v>норма</v>
      </c>
      <c r="F39" s="12" t="n">
        <f aca="false">Данные_ввод!E39</f>
        <v>7.11</v>
      </c>
      <c r="G39" s="11" t="str">
        <f aca="false">IF(AND(F39&gt;=Нормативы!$B$3,F39&lt;=Нормативы!$C$3),"норма","превышение")</f>
        <v>норма</v>
      </c>
      <c r="H39" s="13" t="n">
        <f aca="false">Данные_ввод!G39</f>
        <v>599</v>
      </c>
      <c r="I39" s="11" t="str">
        <f aca="false">IF(H39&lt;=Нормативы!$C$4,"норма","превышение")</f>
        <v>норма</v>
      </c>
      <c r="J39" s="11" t="str">
        <f aca="false">IF(AND(E39="норма",G39="норма",I39="норма"),"Проба соответствует","Проба не соответствует")</f>
        <v>Проба соответствует</v>
      </c>
    </row>
    <row r="40" customFormat="false" ht="15" hidden="false" customHeight="false" outlineLevel="0" collapsed="false">
      <c r="A40" s="9" t="str">
        <f aca="false">Данные_ввод!A40</f>
        <v>2026-01-16</v>
      </c>
      <c r="B40" s="9" t="str">
        <f aca="false">Данные_ввод!B40</f>
        <v>S-0039</v>
      </c>
      <c r="C40" s="9" t="str">
        <f aca="false">Данные_ввод!C40</f>
        <v>Точка-1 (скважина)</v>
      </c>
      <c r="D40" s="10" t="n">
        <f aca="false">(Данные_ввод!D40-Градуировка_Fe!$B$4)/Градуировка_Fe!$B$3</f>
        <v>0.100561328078347</v>
      </c>
      <c r="E40" s="11" t="str">
        <f aca="false">IF(D40&lt;=Нормативы!$C$2,"норма","превышение")</f>
        <v>норма</v>
      </c>
      <c r="F40" s="12" t="n">
        <f aca="false">Данные_ввод!E40</f>
        <v>7.22</v>
      </c>
      <c r="G40" s="11" t="str">
        <f aca="false">IF(AND(F40&gt;=Нормативы!$B$3,F40&lt;=Нормативы!$C$3),"норма","превышение")</f>
        <v>норма</v>
      </c>
      <c r="H40" s="13" t="n">
        <f aca="false">Данные_ввод!G40</f>
        <v>863</v>
      </c>
      <c r="I40" s="11" t="str">
        <f aca="false">IF(H40&lt;=Нормативы!$C$4,"норма","превышение")</f>
        <v>норма</v>
      </c>
      <c r="J40" s="11" t="str">
        <f aca="false">IF(AND(E40="норма",G40="норма",I40="норма"),"Проба соответствует","Проба не соответствует")</f>
        <v>Проба соответствует</v>
      </c>
    </row>
    <row r="41" customFormat="false" ht="15" hidden="false" customHeight="false" outlineLevel="0" collapsed="false">
      <c r="A41" s="9" t="str">
        <f aca="false">Данные_ввод!A41</f>
        <v>2026-01-16</v>
      </c>
      <c r="B41" s="9" t="str">
        <f aca="false">Данные_ввод!B41</f>
        <v>S-0040</v>
      </c>
      <c r="C41" s="9" t="str">
        <f aca="false">Данные_ввод!C41</f>
        <v>Точка-2 (резервуар)</v>
      </c>
      <c r="D41" s="10" t="n">
        <f aca="false">(Данные_ввод!D41-Градуировка_Fe!$B$4)/Градуировка_Fe!$B$3</f>
        <v>0.104980293801505</v>
      </c>
      <c r="E41" s="11" t="str">
        <f aca="false">IF(D41&lt;=Нормативы!$C$2,"норма","превышение")</f>
        <v>норма</v>
      </c>
      <c r="F41" s="12" t="n">
        <f aca="false">Данные_ввод!E41</f>
        <v>7.08</v>
      </c>
      <c r="G41" s="11" t="str">
        <f aca="false">IF(AND(F41&gt;=Нормативы!$B$3,F41&lt;=Нормативы!$C$3),"норма","превышение")</f>
        <v>норма</v>
      </c>
      <c r="H41" s="13" t="n">
        <f aca="false">Данные_ввод!G41</f>
        <v>654</v>
      </c>
      <c r="I41" s="11" t="str">
        <f aca="false">IF(H41&lt;=Нормативы!$C$4,"норма","превышение")</f>
        <v>норма</v>
      </c>
      <c r="J41" s="11" t="str">
        <f aca="false">IF(AND(E41="норма",G41="норма",I41="норма"),"Проба соответствует","Проба не соответствует")</f>
        <v>Проба соответствует</v>
      </c>
    </row>
    <row r="42" customFormat="false" ht="15" hidden="false" customHeight="false" outlineLevel="0" collapsed="false">
      <c r="A42" s="9" t="str">
        <f aca="false">Данные_ввод!A42</f>
        <v>2026-01-19</v>
      </c>
      <c r="B42" s="9" t="str">
        <f aca="false">Данные_ввод!B42</f>
        <v>S-0041</v>
      </c>
      <c r="C42" s="9" t="str">
        <f aca="false">Данные_ввод!C42</f>
        <v>Точка-1 (скважина)</v>
      </c>
      <c r="D42" s="10" t="n">
        <f aca="false">(Данные_ввод!D42-Градуировка_Fe!$B$4)/Градуировка_Fe!$B$3</f>
        <v>0.122417293682073</v>
      </c>
      <c r="E42" s="11" t="str">
        <f aca="false">IF(D42&lt;=Нормативы!$C$2,"норма","превышение")</f>
        <v>норма</v>
      </c>
      <c r="F42" s="12" t="n">
        <f aca="false">Данные_ввод!E42</f>
        <v>7.64</v>
      </c>
      <c r="G42" s="11" t="str">
        <f aca="false">IF(AND(F42&gt;=Нормативы!$B$3,F42&lt;=Нормативы!$C$3),"норма","превышение")</f>
        <v>норма</v>
      </c>
      <c r="H42" s="13" t="n">
        <f aca="false">Данные_ввод!G42</f>
        <v>411</v>
      </c>
      <c r="I42" s="11" t="str">
        <f aca="false">IF(H42&lt;=Нормативы!$C$4,"норма","превышение")</f>
        <v>норма</v>
      </c>
      <c r="J42" s="11" t="str">
        <f aca="false">IF(AND(E42="норма",G42="норма",I42="норма"),"Проба соответствует","Проба не соответствует")</f>
        <v>Проба соответствует</v>
      </c>
    </row>
    <row r="43" customFormat="false" ht="15" hidden="false" customHeight="false" outlineLevel="0" collapsed="false">
      <c r="A43" s="9" t="str">
        <f aca="false">Данные_ввод!A43</f>
        <v>2026-01-19</v>
      </c>
      <c r="B43" s="9" t="str">
        <f aca="false">Данные_ввод!B43</f>
        <v>S-0042</v>
      </c>
      <c r="C43" s="9" t="str">
        <f aca="false">Данные_ввод!C43</f>
        <v>Точка-3 (сброс)</v>
      </c>
      <c r="D43" s="10" t="n">
        <f aca="false">(Данные_ввод!D43-Градуировка_Fe!$B$4)/Градуировка_Fe!$B$3</f>
        <v>0.366774155022095</v>
      </c>
      <c r="E43" s="11" t="str">
        <f aca="false">IF(D43&lt;=Нормативы!$C$2,"норма","превышение")</f>
        <v>превышение</v>
      </c>
      <c r="F43" s="12" t="n">
        <f aca="false">Данные_ввод!E43</f>
        <v>7.36</v>
      </c>
      <c r="G43" s="11" t="str">
        <f aca="false">IF(AND(F43&gt;=Нормативы!$B$3,F43&lt;=Нормативы!$C$3),"норма","превышение")</f>
        <v>норма</v>
      </c>
      <c r="H43" s="13" t="n">
        <f aca="false">Данные_ввод!G43</f>
        <v>346</v>
      </c>
      <c r="I43" s="11" t="str">
        <f aca="false">IF(H43&lt;=Нормативы!$C$4,"норма","превышение")</f>
        <v>норма</v>
      </c>
      <c r="J43" s="11" t="str">
        <f aca="false">IF(AND(E43="норма",G43="норма",I43="норма"),"Проба соответствует","Проба не соответствует")</f>
        <v>Проба не соответствует</v>
      </c>
    </row>
    <row r="44" customFormat="false" ht="15" hidden="false" customHeight="false" outlineLevel="0" collapsed="false">
      <c r="A44" s="9" t="str">
        <f aca="false">Данные_ввод!A44</f>
        <v>2026-01-19</v>
      </c>
      <c r="B44" s="9" t="str">
        <f aca="false">Данные_ввод!B44</f>
        <v>S-0043</v>
      </c>
      <c r="C44" s="9" t="str">
        <f aca="false">Данные_ввод!C44</f>
        <v>Точка-2 (резервуар)</v>
      </c>
      <c r="D44" s="10" t="n">
        <f aca="false">(Данные_ввод!D44-Градуировка_Fe!$B$4)/Градуировка_Fe!$B$3</f>
        <v>0.139257136032485</v>
      </c>
      <c r="E44" s="11" t="str">
        <f aca="false">IF(D44&lt;=Нормативы!$C$2,"норма","превышение")</f>
        <v>норма</v>
      </c>
      <c r="F44" s="12" t="n">
        <f aca="false">Данные_ввод!E44</f>
        <v>6.57</v>
      </c>
      <c r="G44" s="11" t="str">
        <f aca="false">IF(AND(F44&gt;=Нормативы!$B$3,F44&lt;=Нормативы!$C$3),"норма","превышение")</f>
        <v>норма</v>
      </c>
      <c r="H44" s="13" t="n">
        <f aca="false">Данные_ввод!G44</f>
        <v>545</v>
      </c>
      <c r="I44" s="11" t="str">
        <f aca="false">IF(H44&lt;=Нормативы!$C$4,"норма","превышение")</f>
        <v>норма</v>
      </c>
      <c r="J44" s="11" t="str">
        <f aca="false">IF(AND(E44="норма",G44="норма",I44="норма"),"Проба соответствует","Проба не соответствует")</f>
        <v>Проба соответствует</v>
      </c>
    </row>
    <row r="45" customFormat="false" ht="15" hidden="false" customHeight="false" outlineLevel="0" collapsed="false">
      <c r="A45" s="9" t="str">
        <f aca="false">Данные_ввод!A45</f>
        <v>2026-01-19</v>
      </c>
      <c r="B45" s="9" t="str">
        <f aca="false">Данные_ввод!B45</f>
        <v>S-0044</v>
      </c>
      <c r="C45" s="9" t="str">
        <f aca="false">Данные_ввод!C45</f>
        <v>Точка-2 (резервуар)</v>
      </c>
      <c r="D45" s="10" t="n">
        <f aca="false">(Данные_ввод!D45-Градуировка_Fe!$B$4)/Градуировка_Fe!$B$3</f>
        <v>0.232533142242924</v>
      </c>
      <c r="E45" s="11" t="str">
        <f aca="false">IF(D45&lt;=Нормативы!$C$2,"норма","превышение")</f>
        <v>норма</v>
      </c>
      <c r="F45" s="12" t="n">
        <f aca="false">Данные_ввод!E45</f>
        <v>7.07</v>
      </c>
      <c r="G45" s="11" t="str">
        <f aca="false">IF(AND(F45&gt;=Нормативы!$B$3,F45&lt;=Нормативы!$C$3),"норма","превышение")</f>
        <v>норма</v>
      </c>
      <c r="H45" s="13" t="n">
        <f aca="false">Данные_ввод!G45</f>
        <v>720</v>
      </c>
      <c r="I45" s="11" t="str">
        <f aca="false">IF(H45&lt;=Нормативы!$C$4,"норма","превышение")</f>
        <v>норма</v>
      </c>
      <c r="J45" s="11" t="str">
        <f aca="false">IF(AND(E45="норма",G45="норма",I45="норма"),"Проба соответствует","Проба не соответствует")</f>
        <v>Проба соответствует</v>
      </c>
    </row>
    <row r="46" customFormat="false" ht="15" hidden="false" customHeight="false" outlineLevel="0" collapsed="false">
      <c r="A46" s="9" t="str">
        <f aca="false">Данные_ввод!A46</f>
        <v>2026-01-20</v>
      </c>
      <c r="B46" s="9" t="str">
        <f aca="false">Данные_ввод!B46</f>
        <v>S-0045</v>
      </c>
      <c r="C46" s="9" t="str">
        <f aca="false">Данные_ввод!C46</f>
        <v>Точка-3 (сброс)</v>
      </c>
      <c r="D46" s="10" t="n">
        <f aca="false">(Данные_ввод!D46-Градуировка_Fe!$B$4)/Градуировка_Fe!$B$3</f>
        <v>0.175206019347904</v>
      </c>
      <c r="E46" s="11" t="str">
        <f aca="false">IF(D46&lt;=Нормативы!$C$2,"норма","превышение")</f>
        <v>норма</v>
      </c>
      <c r="F46" s="12" t="n">
        <f aca="false">Данные_ввод!E46</f>
        <v>6.68</v>
      </c>
      <c r="G46" s="11" t="str">
        <f aca="false">IF(AND(F46&gt;=Нормативы!$B$3,F46&lt;=Нормативы!$C$3),"норма","превышение")</f>
        <v>норма</v>
      </c>
      <c r="H46" s="13" t="n">
        <f aca="false">Данные_ввод!G46</f>
        <v>712</v>
      </c>
      <c r="I46" s="11" t="str">
        <f aca="false">IF(H46&lt;=Нормативы!$C$4,"норма","превышение")</f>
        <v>норма</v>
      </c>
      <c r="J46" s="11" t="str">
        <f aca="false">IF(AND(E46="норма",G46="норма",I46="норма"),"Проба соответствует","Проба не соответствует")</f>
        <v>Проба соответствует</v>
      </c>
    </row>
    <row r="47" customFormat="false" ht="15" hidden="false" customHeight="false" outlineLevel="0" collapsed="false">
      <c r="A47" s="9" t="str">
        <f aca="false">Данные_ввод!A47</f>
        <v>2026-01-20</v>
      </c>
      <c r="B47" s="9" t="str">
        <f aca="false">Данные_ввод!B47</f>
        <v>S-0046</v>
      </c>
      <c r="C47" s="9" t="str">
        <f aca="false">Данные_ввод!C47</f>
        <v>Точка-2 (резервуар)</v>
      </c>
      <c r="D47" s="10" t="n">
        <f aca="false">(Данные_ввод!D47-Градуировка_Fe!$B$4)/Градуировка_Fe!$B$3</f>
        <v>0.176758628926311</v>
      </c>
      <c r="E47" s="11" t="str">
        <f aca="false">IF(D47&lt;=Нормативы!$C$2,"норма","превышение")</f>
        <v>норма</v>
      </c>
      <c r="F47" s="12" t="n">
        <f aca="false">Данные_ввод!E47</f>
        <v>7.65</v>
      </c>
      <c r="G47" s="11" t="str">
        <f aca="false">IF(AND(F47&gt;=Нормативы!$B$3,F47&lt;=Нормативы!$C$3),"норма","превышение")</f>
        <v>норма</v>
      </c>
      <c r="H47" s="13" t="n">
        <f aca="false">Данные_ввод!G47</f>
        <v>710</v>
      </c>
      <c r="I47" s="11" t="str">
        <f aca="false">IF(H47&lt;=Нормативы!$C$4,"норма","превышение")</f>
        <v>норма</v>
      </c>
      <c r="J47" s="11" t="str">
        <f aca="false">IF(AND(E47="норма",G47="норма",I47="норма"),"Проба соответствует","Проба не соответствует")</f>
        <v>Проба соответствует</v>
      </c>
    </row>
    <row r="48" customFormat="false" ht="15" hidden="false" customHeight="false" outlineLevel="0" collapsed="false">
      <c r="A48" s="9" t="str">
        <f aca="false">Данные_ввод!A48</f>
        <v>2026-01-20</v>
      </c>
      <c r="B48" s="9" t="str">
        <f aca="false">Данные_ввод!B48</f>
        <v>S-0047</v>
      </c>
      <c r="C48" s="9" t="str">
        <f aca="false">Данные_ввод!C48</f>
        <v>Точка-2 (резервуар)</v>
      </c>
      <c r="D48" s="10" t="n">
        <f aca="false">(Данные_ввод!D48-Градуировка_Fe!$B$4)/Градуировка_Fe!$B$3</f>
        <v>0.177714080974561</v>
      </c>
      <c r="E48" s="11" t="str">
        <f aca="false">IF(D48&lt;=Нормативы!$C$2,"норма","превышение")</f>
        <v>норма</v>
      </c>
      <c r="F48" s="12" t="n">
        <f aca="false">Данные_ввод!E48</f>
        <v>7.57</v>
      </c>
      <c r="G48" s="11" t="str">
        <f aca="false">IF(AND(F48&gt;=Нормативы!$B$3,F48&lt;=Нормативы!$C$3),"норма","превышение")</f>
        <v>норма</v>
      </c>
      <c r="H48" s="13" t="n">
        <f aca="false">Данные_ввод!G48</f>
        <v>762</v>
      </c>
      <c r="I48" s="11" t="str">
        <f aca="false">IF(H48&lt;=Нормативы!$C$4,"норма","превышение")</f>
        <v>норма</v>
      </c>
      <c r="J48" s="11" t="str">
        <f aca="false">IF(AND(E48="норма",G48="норма",I48="норма"),"Проба соответствует","Проба не соответствует")</f>
        <v>Проба соответствует</v>
      </c>
    </row>
    <row r="49" customFormat="false" ht="15" hidden="false" customHeight="false" outlineLevel="0" collapsed="false">
      <c r="A49" s="9" t="str">
        <f aca="false">Данные_ввод!A49</f>
        <v>2026-01-20</v>
      </c>
      <c r="B49" s="9" t="str">
        <f aca="false">Данные_ввод!B49</f>
        <v>S-0048</v>
      </c>
      <c r="C49" s="9" t="str">
        <f aca="false">Данные_ввод!C49</f>
        <v>Точка-2 (резервуар)</v>
      </c>
      <c r="D49" s="10" t="n">
        <f aca="false">(Данные_ввод!D49-Градуировка_Fe!$B$4)/Градуировка_Fe!$B$3</f>
        <v>0.129822047056013</v>
      </c>
      <c r="E49" s="11" t="str">
        <f aca="false">IF(D49&lt;=Нормативы!$C$2,"норма","превышение")</f>
        <v>норма</v>
      </c>
      <c r="F49" s="12" t="n">
        <f aca="false">Данные_ввод!E49</f>
        <v>6.8</v>
      </c>
      <c r="G49" s="11" t="str">
        <f aca="false">IF(AND(F49&gt;=Нормативы!$B$3,F49&lt;=Нормативы!$C$3),"норма","превышение")</f>
        <v>норма</v>
      </c>
      <c r="H49" s="13" t="n">
        <f aca="false">Данные_ввод!G49</f>
        <v>800</v>
      </c>
      <c r="I49" s="11" t="str">
        <f aca="false">IF(H49&lt;=Нормативы!$C$4,"норма","превышение")</f>
        <v>норма</v>
      </c>
      <c r="J49" s="11" t="str">
        <f aca="false">IF(AND(E49="норма",G49="норма",I49="норма"),"Проба соответствует","Проба не соответствует")</f>
        <v>Проба соответствует</v>
      </c>
    </row>
    <row r="50" customFormat="false" ht="15" hidden="false" customHeight="false" outlineLevel="0" collapsed="false">
      <c r="A50" s="9" t="str">
        <f aca="false">Данные_ввод!A50</f>
        <v>2026-01-21</v>
      </c>
      <c r="B50" s="9" t="str">
        <f aca="false">Данные_ввод!B50</f>
        <v>S-0049</v>
      </c>
      <c r="C50" s="9" t="str">
        <f aca="false">Данные_ввод!C50</f>
        <v>Точка-3 (сброс)</v>
      </c>
      <c r="D50" s="10" t="n">
        <f aca="false">(Данные_ввод!D50-Градуировка_Fe!$B$4)/Градуировка_Fe!$B$3</f>
        <v>0.144631553803893</v>
      </c>
      <c r="E50" s="11" t="str">
        <f aca="false">IF(D50&lt;=Нормативы!$C$2,"норма","превышение")</f>
        <v>норма</v>
      </c>
      <c r="F50" s="12" t="n">
        <f aca="false">Данные_ввод!E50</f>
        <v>7.27</v>
      </c>
      <c r="G50" s="11" t="str">
        <f aca="false">IF(AND(F50&gt;=Нормативы!$B$3,F50&lt;=Нормативы!$C$3),"норма","превышение")</f>
        <v>норма</v>
      </c>
      <c r="H50" s="13" t="n">
        <f aca="false">Данные_ввод!G50</f>
        <v>382</v>
      </c>
      <c r="I50" s="11" t="str">
        <f aca="false">IF(H50&lt;=Нормативы!$C$4,"норма","превышение")</f>
        <v>норма</v>
      </c>
      <c r="J50" s="11" t="str">
        <f aca="false">IF(AND(E50="норма",G50="норма",I50="норма"),"Проба соответствует","Проба не соответствует")</f>
        <v>Проба соответствует</v>
      </c>
    </row>
    <row r="51" customFormat="false" ht="15" hidden="false" customHeight="false" outlineLevel="0" collapsed="false">
      <c r="A51" s="9" t="str">
        <f aca="false">Данные_ввод!A51</f>
        <v>2026-01-21</v>
      </c>
      <c r="B51" s="9" t="str">
        <f aca="false">Данные_ввод!B51</f>
        <v>S-0050</v>
      </c>
      <c r="C51" s="9" t="str">
        <f aca="false">Данные_ввод!C51</f>
        <v>Точка-2 (резервуар)</v>
      </c>
      <c r="D51" s="10" t="n">
        <f aca="false">(Данные_ввод!D51-Градуировка_Fe!$B$4)/Градуировка_Fe!$B$3</f>
        <v>0.0613877941000836</v>
      </c>
      <c r="E51" s="11" t="str">
        <f aca="false">IF(D51&lt;=Нормативы!$C$2,"норма","превышение")</f>
        <v>норма</v>
      </c>
      <c r="F51" s="12" t="n">
        <f aca="false">Данные_ввод!E51</f>
        <v>7.08</v>
      </c>
      <c r="G51" s="11" t="str">
        <f aca="false">IF(AND(F51&gt;=Нормативы!$B$3,F51&lt;=Нормативы!$C$3),"норма","превышение")</f>
        <v>норма</v>
      </c>
      <c r="H51" s="13" t="n">
        <f aca="false">Данные_ввод!G51</f>
        <v>636</v>
      </c>
      <c r="I51" s="11" t="str">
        <f aca="false">IF(H51&lt;=Нормативы!$C$4,"норма","превышение")</f>
        <v>норма</v>
      </c>
      <c r="J51" s="11" t="str">
        <f aca="false">IF(AND(E51="норма",G51="норма",I51="норма"),"Проба соответствует","Проба не соответствует")</f>
        <v>Проба соответствует</v>
      </c>
    </row>
    <row r="52" customFormat="false" ht="15" hidden="false" customHeight="false" outlineLevel="0" collapsed="false">
      <c r="A52" s="9" t="str">
        <f aca="false">Данные_ввод!A52</f>
        <v>2026-01-21</v>
      </c>
      <c r="B52" s="9" t="str">
        <f aca="false">Данные_ввод!B52</f>
        <v>S-0051</v>
      </c>
      <c r="C52" s="9" t="str">
        <f aca="false">Данные_ввод!C52</f>
        <v>Точка-1 (скважина)</v>
      </c>
      <c r="D52" s="10" t="n">
        <f aca="false">(Данные_ввод!D52-Градуировка_Fe!$B$4)/Градуировка_Fe!$B$3</f>
        <v>0.274453600859907</v>
      </c>
      <c r="E52" s="11" t="str">
        <f aca="false">IF(D52&lt;=Нормативы!$C$2,"норма","превышение")</f>
        <v>норма</v>
      </c>
      <c r="F52" s="12" t="n">
        <f aca="false">Данные_ввод!E52</f>
        <v>7.07</v>
      </c>
      <c r="G52" s="11" t="str">
        <f aca="false">IF(AND(F52&gt;=Нормативы!$B$3,F52&lt;=Нормативы!$C$3),"норма","превышение")</f>
        <v>норма</v>
      </c>
      <c r="H52" s="13" t="n">
        <f aca="false">Данные_ввод!G52</f>
        <v>640</v>
      </c>
      <c r="I52" s="11" t="str">
        <f aca="false">IF(H52&lt;=Нормативы!$C$4,"норма","превышение")</f>
        <v>норма</v>
      </c>
      <c r="J52" s="11" t="str">
        <f aca="false">IF(AND(E52="норма",G52="норма",I52="норма"),"Проба соответствует","Проба не соответствует")</f>
        <v>Проба соответствует</v>
      </c>
    </row>
    <row r="53" customFormat="false" ht="15" hidden="false" customHeight="false" outlineLevel="0" collapsed="false">
      <c r="A53" s="9" t="str">
        <f aca="false">Данные_ввод!A53</f>
        <v>2026-01-21</v>
      </c>
      <c r="B53" s="9" t="str">
        <f aca="false">Данные_ввод!B53</f>
        <v>S-0052</v>
      </c>
      <c r="C53" s="9" t="str">
        <f aca="false">Данные_ввод!C53</f>
        <v>Точка-2 (резервуар)</v>
      </c>
      <c r="D53" s="10" t="n">
        <f aca="false">(Данные_ввод!D53-Градуировка_Fe!$B$4)/Градуировка_Fe!$B$3</f>
        <v>0.193479039770692</v>
      </c>
      <c r="E53" s="11" t="str">
        <f aca="false">IF(D53&lt;=Нормативы!$C$2,"норма","превышение")</f>
        <v>норма</v>
      </c>
      <c r="F53" s="12" t="n">
        <f aca="false">Данные_ввод!E53</f>
        <v>7.76</v>
      </c>
      <c r="G53" s="11" t="str">
        <f aca="false">IF(AND(F53&gt;=Нормативы!$B$3,F53&lt;=Нормативы!$C$3),"норма","превышение")</f>
        <v>норма</v>
      </c>
      <c r="H53" s="13" t="n">
        <f aca="false">Данные_ввод!G53</f>
        <v>651</v>
      </c>
      <c r="I53" s="11" t="str">
        <f aca="false">IF(H53&lt;=Нормативы!$C$4,"норма","превышение")</f>
        <v>норма</v>
      </c>
      <c r="J53" s="11" t="str">
        <f aca="false">IF(AND(E53="норма",G53="норма",I53="норма"),"Проба соответствует","Проба не соответствует")</f>
        <v>Проба соответствует</v>
      </c>
    </row>
    <row r="54" customFormat="false" ht="15" hidden="false" customHeight="false" outlineLevel="0" collapsed="false">
      <c r="A54" s="9" t="str">
        <f aca="false">Данные_ввод!A54</f>
        <v>2026-01-22</v>
      </c>
      <c r="B54" s="9" t="str">
        <f aca="false">Данные_ввод!B54</f>
        <v>S-0053</v>
      </c>
      <c r="C54" s="9" t="str">
        <f aca="false">Данные_ввод!C54</f>
        <v>Точка-2 (резервуар)</v>
      </c>
      <c r="D54" s="10" t="n">
        <f aca="false">(Данные_ввод!D54-Градуировка_Fe!$B$4)/Градуировка_Fe!$B$3</f>
        <v>0.0961423623551893</v>
      </c>
      <c r="E54" s="11" t="str">
        <f aca="false">IF(D54&lt;=Нормативы!$C$2,"норма","превышение")</f>
        <v>норма</v>
      </c>
      <c r="F54" s="12" t="n">
        <f aca="false">Данные_ввод!E54</f>
        <v>7.24</v>
      </c>
      <c r="G54" s="11" t="str">
        <f aca="false">IF(AND(F54&gt;=Нормативы!$B$3,F54&lt;=Нормативы!$C$3),"норма","превышение")</f>
        <v>норма</v>
      </c>
      <c r="H54" s="13" t="n">
        <f aca="false">Данные_ввод!G54</f>
        <v>590</v>
      </c>
      <c r="I54" s="11" t="str">
        <f aca="false">IF(H54&lt;=Нормативы!$C$4,"норма","превышение")</f>
        <v>норма</v>
      </c>
      <c r="J54" s="11" t="str">
        <f aca="false">IF(AND(E54="норма",G54="норма",I54="норма"),"Проба соответствует","Проба не соответствует")</f>
        <v>Проба соответствует</v>
      </c>
    </row>
    <row r="55" customFormat="false" ht="15" hidden="false" customHeight="false" outlineLevel="0" collapsed="false">
      <c r="A55" s="9" t="str">
        <f aca="false">Данные_ввод!A55</f>
        <v>2026-01-22</v>
      </c>
      <c r="B55" s="9" t="str">
        <f aca="false">Данные_ввод!B55</f>
        <v>S-0054</v>
      </c>
      <c r="C55" s="9" t="str">
        <f aca="false">Данные_ввод!C55</f>
        <v>Точка-3 (сброс)</v>
      </c>
      <c r="D55" s="10" t="n">
        <f aca="false">(Данные_ввод!D55-Градуировка_Fe!$B$4)/Градуировка_Fe!$B$3</f>
        <v>0.0870655678968112</v>
      </c>
      <c r="E55" s="11" t="str">
        <f aca="false">IF(D55&lt;=Нормативы!$C$2,"норма","превышение")</f>
        <v>норма</v>
      </c>
      <c r="F55" s="12" t="n">
        <f aca="false">Данные_ввод!E55</f>
        <v>7.97</v>
      </c>
      <c r="G55" s="11" t="str">
        <f aca="false">IF(AND(F55&gt;=Нормативы!$B$3,F55&lt;=Нормативы!$C$3),"норма","превышение")</f>
        <v>норма</v>
      </c>
      <c r="H55" s="13" t="n">
        <f aca="false">Данные_ввод!G55</f>
        <v>410</v>
      </c>
      <c r="I55" s="11" t="str">
        <f aca="false">IF(H55&lt;=Нормативы!$C$4,"норма","превышение")</f>
        <v>норма</v>
      </c>
      <c r="J55" s="11" t="str">
        <f aca="false">IF(AND(E55="норма",G55="норма",I55="норма"),"Проба соответствует","Проба не соответствует")</f>
        <v>Проба соответствует</v>
      </c>
    </row>
    <row r="56" customFormat="false" ht="15" hidden="false" customHeight="false" outlineLevel="0" collapsed="false">
      <c r="A56" s="9" t="str">
        <f aca="false">Данные_ввод!A56</f>
        <v>2026-01-22</v>
      </c>
      <c r="B56" s="9" t="str">
        <f aca="false">Данные_ввод!B56</f>
        <v>S-0055</v>
      </c>
      <c r="C56" s="9" t="str">
        <f aca="false">Данные_ввод!C56</f>
        <v>Точка-3 (сброс)</v>
      </c>
      <c r="D56" s="10" t="n">
        <f aca="false">(Данные_ввод!D56-Градуировка_Fe!$B$4)/Градуировка_Fe!$B$3</f>
        <v>0.195031649349098</v>
      </c>
      <c r="E56" s="11" t="str">
        <f aca="false">IF(D56&lt;=Нормативы!$C$2,"норма","превышение")</f>
        <v>норма</v>
      </c>
      <c r="F56" s="12" t="n">
        <f aca="false">Данные_ввод!E56</f>
        <v>7.68</v>
      </c>
      <c r="G56" s="11" t="str">
        <f aca="false">IF(AND(F56&gt;=Нормативы!$B$3,F56&lt;=Нормативы!$C$3),"норма","превышение")</f>
        <v>норма</v>
      </c>
      <c r="H56" s="13" t="n">
        <f aca="false">Данные_ввод!G56</f>
        <v>641</v>
      </c>
      <c r="I56" s="11" t="str">
        <f aca="false">IF(H56&lt;=Нормативы!$C$4,"норма","превышение")</f>
        <v>норма</v>
      </c>
      <c r="J56" s="11" t="str">
        <f aca="false">IF(AND(E56="норма",G56="норма",I56="норма"),"Проба соответствует","Проба не соответствует")</f>
        <v>Проба соответствует</v>
      </c>
    </row>
    <row r="57" customFormat="false" ht="15" hidden="false" customHeight="false" outlineLevel="0" collapsed="false">
      <c r="A57" s="9" t="str">
        <f aca="false">Данные_ввод!A57</f>
        <v>2026-01-22</v>
      </c>
      <c r="B57" s="9" t="str">
        <f aca="false">Данные_ввод!B57</f>
        <v>S-0056</v>
      </c>
      <c r="C57" s="9" t="str">
        <f aca="false">Данные_ввод!C57</f>
        <v>Точка-2 (резервуар)</v>
      </c>
      <c r="D57" s="10" t="n">
        <f aca="false">(Данные_ввод!D57-Градуировка_Fe!$B$4)/Градуировка_Fe!$B$3</f>
        <v>0.0493252119909232</v>
      </c>
      <c r="E57" s="11" t="str">
        <f aca="false">IF(D57&lt;=Нормативы!$C$2,"норма","превышение")</f>
        <v>норма</v>
      </c>
      <c r="F57" s="12" t="n">
        <f aca="false">Данные_ввод!E57</f>
        <v>7.37</v>
      </c>
      <c r="G57" s="11" t="str">
        <f aca="false">IF(AND(F57&gt;=Нормативы!$B$3,F57&lt;=Нормативы!$C$3),"норма","превышение")</f>
        <v>норма</v>
      </c>
      <c r="H57" s="13" t="n">
        <f aca="false">Данные_ввод!G57</f>
        <v>685</v>
      </c>
      <c r="I57" s="11" t="str">
        <f aca="false">IF(H57&lt;=Нормативы!$C$4,"норма","превышение")</f>
        <v>норма</v>
      </c>
      <c r="J57" s="11" t="str">
        <f aca="false">IF(AND(E57="норма",G57="норма",I57="норма"),"Проба соответствует","Проба не соответствует")</f>
        <v>Проба соответствует</v>
      </c>
    </row>
    <row r="58" customFormat="false" ht="15" hidden="false" customHeight="false" outlineLevel="0" collapsed="false">
      <c r="A58" s="9" t="str">
        <f aca="false">Данные_ввод!A58</f>
        <v>2026-01-23</v>
      </c>
      <c r="B58" s="9" t="str">
        <f aca="false">Данные_ввод!B58</f>
        <v>S-0057</v>
      </c>
      <c r="C58" s="9" t="str">
        <f aca="false">Данные_ввод!C58</f>
        <v>Точка-3 (сброс)</v>
      </c>
      <c r="D58" s="10" t="n">
        <f aca="false">(Данные_ввод!D58-Градуировка_Fe!$B$4)/Градуировка_Fe!$B$3</f>
        <v>0.210080019109041</v>
      </c>
      <c r="E58" s="11" t="str">
        <f aca="false">IF(D58&lt;=Нормативы!$C$2,"норма","превышение")</f>
        <v>норма</v>
      </c>
      <c r="F58" s="12" t="n">
        <f aca="false">Данные_ввод!E58</f>
        <v>6.95</v>
      </c>
      <c r="G58" s="11" t="str">
        <f aca="false">IF(AND(F58&gt;=Нормативы!$B$3,F58&lt;=Нормативы!$C$3),"норма","превышение")</f>
        <v>норма</v>
      </c>
      <c r="H58" s="13" t="n">
        <f aca="false">Данные_ввод!G58</f>
        <v>669</v>
      </c>
      <c r="I58" s="11" t="str">
        <f aca="false">IF(H58&lt;=Нормативы!$C$4,"норма","превышение")</f>
        <v>норма</v>
      </c>
      <c r="J58" s="11" t="str">
        <f aca="false">IF(AND(E58="норма",G58="норма",I58="норма"),"Проба соответствует","Проба не соответствует")</f>
        <v>Проба соответствует</v>
      </c>
    </row>
    <row r="59" customFormat="false" ht="15" hidden="false" customHeight="false" outlineLevel="0" collapsed="false">
      <c r="A59" s="9" t="str">
        <f aca="false">Данные_ввод!A59</f>
        <v>2026-01-23</v>
      </c>
      <c r="B59" s="9" t="str">
        <f aca="false">Данные_ввод!B59</f>
        <v>S-0058</v>
      </c>
      <c r="C59" s="9" t="str">
        <f aca="false">Данные_ввод!C59</f>
        <v>Точка-1 (скважина)</v>
      </c>
      <c r="D59" s="10" t="n">
        <f aca="false">(Данные_ввод!D59-Градуировка_Fe!$B$4)/Градуировка_Fe!$B$3</f>
        <v>0.191209841156097</v>
      </c>
      <c r="E59" s="11" t="str">
        <f aca="false">IF(D59&lt;=Нормативы!$C$2,"норма","превышение")</f>
        <v>норма</v>
      </c>
      <c r="F59" s="12" t="n">
        <f aca="false">Данные_ввод!E59</f>
        <v>7.07</v>
      </c>
      <c r="G59" s="11" t="str">
        <f aca="false">IF(AND(F59&gt;=Нормативы!$B$3,F59&lt;=Нормативы!$C$3),"норма","превышение")</f>
        <v>норма</v>
      </c>
      <c r="H59" s="13" t="n">
        <f aca="false">Данные_ввод!G59</f>
        <v>687</v>
      </c>
      <c r="I59" s="11" t="str">
        <f aca="false">IF(H59&lt;=Нормативы!$C$4,"норма","превышение")</f>
        <v>норма</v>
      </c>
      <c r="J59" s="11" t="str">
        <f aca="false">IF(AND(E59="норма",G59="норма",I59="норма"),"Проба соответствует","Проба не соответствует")</f>
        <v>Проба соответствует</v>
      </c>
    </row>
    <row r="60" customFormat="false" ht="15" hidden="false" customHeight="false" outlineLevel="0" collapsed="false">
      <c r="A60" s="9" t="str">
        <f aca="false">Данные_ввод!A60</f>
        <v>2026-01-23</v>
      </c>
      <c r="B60" s="9" t="str">
        <f aca="false">Данные_ввод!B60</f>
        <v>S-0059</v>
      </c>
      <c r="C60" s="9" t="str">
        <f aca="false">Данные_ввод!C60</f>
        <v>Точка-1 (скважина)</v>
      </c>
      <c r="D60" s="10" t="n">
        <f aca="false">(Данные_ввод!D60-Градуировка_Fe!$B$4)/Градуировка_Fe!$B$3</f>
        <v>0.0228114176519766</v>
      </c>
      <c r="E60" s="11" t="str">
        <f aca="false">IF(D60&lt;=Нормативы!$C$2,"норма","превышение")</f>
        <v>норма</v>
      </c>
      <c r="F60" s="12" t="n">
        <f aca="false">Данные_ввод!E60</f>
        <v>6.39</v>
      </c>
      <c r="G60" s="11" t="str">
        <f aca="false">IF(AND(F60&gt;=Нормативы!$B$3,F60&lt;=Нормативы!$C$3),"норма","превышение")</f>
        <v>норма</v>
      </c>
      <c r="H60" s="13" t="n">
        <f aca="false">Данные_ввод!G60</f>
        <v>760</v>
      </c>
      <c r="I60" s="11" t="str">
        <f aca="false">IF(H60&lt;=Нормативы!$C$4,"норма","превышение")</f>
        <v>норма</v>
      </c>
      <c r="J60" s="11" t="str">
        <f aca="false">IF(AND(E60="норма",G60="норма",I60="норма"),"Проба соответствует","Проба не соответствует")</f>
        <v>Проба соответствует</v>
      </c>
    </row>
    <row r="61" customFormat="false" ht="15" hidden="false" customHeight="false" outlineLevel="0" collapsed="false">
      <c r="A61" s="9" t="str">
        <f aca="false">Данные_ввод!A61</f>
        <v>2026-01-23</v>
      </c>
      <c r="B61" s="9" t="str">
        <f aca="false">Данные_ввод!B61</f>
        <v>S-0060</v>
      </c>
      <c r="C61" s="9" t="str">
        <f aca="false">Данные_ввод!C61</f>
        <v>Точка-3 (сброс)</v>
      </c>
      <c r="D61" s="10" t="n">
        <f aca="false">(Данные_ввод!D61-Градуировка_Fe!$B$4)/Градуировка_Fe!$B$3</f>
        <v>0.23683267646005</v>
      </c>
      <c r="E61" s="11" t="str">
        <f aca="false">IF(D61&lt;=Нормативы!$C$2,"норма","превышение")</f>
        <v>норма</v>
      </c>
      <c r="F61" s="12" t="n">
        <f aca="false">Данные_ввод!E61</f>
        <v>7.13</v>
      </c>
      <c r="G61" s="11" t="str">
        <f aca="false">IF(AND(F61&gt;=Нормативы!$B$3,F61&lt;=Нормативы!$C$3),"норма","превышение")</f>
        <v>норма</v>
      </c>
      <c r="H61" s="13" t="n">
        <f aca="false">Данные_ввод!G61</f>
        <v>480</v>
      </c>
      <c r="I61" s="11" t="str">
        <f aca="false">IF(H61&lt;=Нормативы!$C$4,"норма","превышение")</f>
        <v>норма</v>
      </c>
      <c r="J61" s="11" t="str">
        <f aca="false">IF(AND(E61="норма",G61="норма",I61="норма"),"Проба соответствует","Проба не соответствует")</f>
        <v>Проба соответствует</v>
      </c>
    </row>
    <row r="62" customFormat="false" ht="15" hidden="false" customHeight="false" outlineLevel="0" collapsed="false">
      <c r="A62" s="9" t="str">
        <f aca="false">Данные_ввод!A62</f>
        <v>2026-01-26</v>
      </c>
      <c r="B62" s="9" t="str">
        <f aca="false">Данные_ввод!B62</f>
        <v>S-0061</v>
      </c>
      <c r="C62" s="9" t="str">
        <f aca="false">Данные_ввод!C62</f>
        <v>Точка-1 (скважина)</v>
      </c>
      <c r="D62" s="10" t="n">
        <f aca="false">(Данные_ввод!D62-Градуировка_Fe!$B$4)/Градуировка_Fe!$B$3</f>
        <v>0.0613877941000836</v>
      </c>
      <c r="E62" s="11" t="str">
        <f aca="false">IF(D62&lt;=Нормативы!$C$2,"норма","превышение")</f>
        <v>норма</v>
      </c>
      <c r="F62" s="12" t="n">
        <f aca="false">Данные_ввод!E62</f>
        <v>7.42</v>
      </c>
      <c r="G62" s="11" t="str">
        <f aca="false">IF(AND(F62&gt;=Нормативы!$B$3,F62&lt;=Нормативы!$C$3),"норма","превышение")</f>
        <v>норма</v>
      </c>
      <c r="H62" s="13" t="n">
        <f aca="false">Данные_ввод!G62</f>
        <v>530</v>
      </c>
      <c r="I62" s="11" t="str">
        <f aca="false">IF(H62&lt;=Нормативы!$C$4,"норма","превышение")</f>
        <v>норма</v>
      </c>
      <c r="J62" s="11" t="str">
        <f aca="false">IF(AND(E62="норма",G62="норма",I62="норма"),"Проба соответствует","Проба не соответствует")</f>
        <v>Проба соответствует</v>
      </c>
    </row>
    <row r="63" customFormat="false" ht="15" hidden="false" customHeight="false" outlineLevel="0" collapsed="false">
      <c r="A63" s="9" t="str">
        <f aca="false">Данные_ввод!A63</f>
        <v>2026-01-26</v>
      </c>
      <c r="B63" s="9" t="str">
        <f aca="false">Данные_ввод!B63</f>
        <v>S-0062</v>
      </c>
      <c r="C63" s="9" t="str">
        <f aca="false">Данные_ввод!C63</f>
        <v>Точка-2 (резервуар)</v>
      </c>
      <c r="D63" s="10" t="n">
        <f aca="false">(Данные_ввод!D63-Градуировка_Fe!$B$4)/Градуировка_Fe!$B$3</f>
        <v>0.349098292129464</v>
      </c>
      <c r="E63" s="11" t="str">
        <f aca="false">IF(D63&lt;=Нормативы!$C$2,"норма","превышение")</f>
        <v>превышение</v>
      </c>
      <c r="F63" s="12" t="n">
        <f aca="false">Данные_ввод!E63</f>
        <v>8.29</v>
      </c>
      <c r="G63" s="11" t="str">
        <f aca="false">IF(AND(F63&gt;=Нормативы!$B$3,F63&lt;=Нормативы!$C$3),"норма","превышение")</f>
        <v>норма</v>
      </c>
      <c r="H63" s="13" t="n">
        <f aca="false">Данные_ввод!G63</f>
        <v>283</v>
      </c>
      <c r="I63" s="11" t="str">
        <f aca="false">IF(H63&lt;=Нормативы!$C$4,"норма","превышение")</f>
        <v>норма</v>
      </c>
      <c r="J63" s="11" t="str">
        <f aca="false">IF(AND(E63="норма",G63="норма",I63="норма"),"Проба соответствует","Проба не соответствует")</f>
        <v>Проба не соответствует</v>
      </c>
    </row>
    <row r="64" customFormat="false" ht="15" hidden="false" customHeight="false" outlineLevel="0" collapsed="false">
      <c r="A64" s="9" t="str">
        <f aca="false">Данные_ввод!A64</f>
        <v>2026-01-26</v>
      </c>
      <c r="B64" s="9" t="str">
        <f aca="false">Данные_ввод!B64</f>
        <v>S-0063</v>
      </c>
      <c r="C64" s="9" t="str">
        <f aca="false">Данные_ввод!C64</f>
        <v>Точка-3 (сброс)</v>
      </c>
      <c r="D64" s="10" t="n">
        <f aca="false">(Данные_ввод!D64-Градуировка_Fe!$B$4)/Градуировка_Fe!$B$3</f>
        <v>0.282813806282097</v>
      </c>
      <c r="E64" s="11" t="str">
        <f aca="false">IF(D64&lt;=Нормативы!$C$2,"норма","превышение")</f>
        <v>норма</v>
      </c>
      <c r="F64" s="12" t="n">
        <f aca="false">Данные_ввод!E64</f>
        <v>7.21</v>
      </c>
      <c r="G64" s="11" t="str">
        <f aca="false">IF(AND(F64&gt;=Нормативы!$B$3,F64&lt;=Нормативы!$C$3),"норма","превышение")</f>
        <v>норма</v>
      </c>
      <c r="H64" s="13" t="n">
        <f aca="false">Данные_ввод!G64</f>
        <v>534</v>
      </c>
      <c r="I64" s="11" t="str">
        <f aca="false">IF(H64&lt;=Нормативы!$C$4,"норма","превышение")</f>
        <v>норма</v>
      </c>
      <c r="J64" s="11" t="str">
        <f aca="false">IF(AND(E64="норма",G64="норма",I64="норма"),"Проба соответствует","Проба не соответствует")</f>
        <v>Проба соответствует</v>
      </c>
    </row>
    <row r="65" customFormat="false" ht="15" hidden="false" customHeight="false" outlineLevel="0" collapsed="false">
      <c r="A65" s="9" t="str">
        <f aca="false">Данные_ввод!A65</f>
        <v>2026-01-26</v>
      </c>
      <c r="B65" s="9" t="str">
        <f aca="false">Данные_ввод!B65</f>
        <v>S-0064</v>
      </c>
      <c r="C65" s="9" t="str">
        <f aca="false">Данные_ввод!C65</f>
        <v>Точка-1 (скважина)</v>
      </c>
      <c r="D65" s="10" t="n">
        <f aca="false">(Данные_ввод!D65-Градуировка_Fe!$B$4)/Градуировка_Fe!$B$3</f>
        <v>0.123253314224292</v>
      </c>
      <c r="E65" s="11" t="str">
        <f aca="false">IF(D65&lt;=Нормативы!$C$2,"норма","превышение")</f>
        <v>норма</v>
      </c>
      <c r="F65" s="12" t="n">
        <f aca="false">Данные_ввод!E65</f>
        <v>7.75</v>
      </c>
      <c r="G65" s="11" t="str">
        <f aca="false">IF(AND(F65&gt;=Нормативы!$B$3,F65&lt;=Нормативы!$C$3),"норма","превышение")</f>
        <v>норма</v>
      </c>
      <c r="H65" s="13" t="n">
        <f aca="false">Данные_ввод!G65</f>
        <v>687</v>
      </c>
      <c r="I65" s="11" t="str">
        <f aca="false">IF(H65&lt;=Нормативы!$C$4,"норма","превышение")</f>
        <v>норма</v>
      </c>
      <c r="J65" s="11" t="str">
        <f aca="false">IF(AND(E65="норма",G65="норма",I65="норма"),"Проба соответствует","Проба не соответствует")</f>
        <v>Проба соответствует</v>
      </c>
    </row>
    <row r="66" customFormat="false" ht="15" hidden="false" customHeight="false" outlineLevel="0" collapsed="false">
      <c r="A66" s="9" t="str">
        <f aca="false">Данные_ввод!A66</f>
        <v>2026-01-27</v>
      </c>
      <c r="B66" s="9" t="str">
        <f aca="false">Данные_ввод!B66</f>
        <v>S-0065</v>
      </c>
      <c r="C66" s="9" t="str">
        <f aca="false">Данные_ввод!C66</f>
        <v>Точка-1 (скважина)</v>
      </c>
      <c r="D66" s="10" t="n">
        <f aca="false">(Данные_ввод!D66-Градуировка_Fe!$B$4)/Градуировка_Fe!$B$3</f>
        <v>0.128269437477607</v>
      </c>
      <c r="E66" s="11" t="str">
        <f aca="false">IF(D66&lt;=Нормативы!$C$2,"норма","превышение")</f>
        <v>норма</v>
      </c>
      <c r="F66" s="12" t="n">
        <f aca="false">Данные_ввод!E66</f>
        <v>6.13</v>
      </c>
      <c r="G66" s="11" t="str">
        <f aca="false">IF(AND(F66&gt;=Нормативы!$B$3,F66&lt;=Нормативы!$C$3),"норма","превышение")</f>
        <v>норма</v>
      </c>
      <c r="H66" s="13" t="n">
        <f aca="false">Данные_ввод!G66</f>
        <v>371</v>
      </c>
      <c r="I66" s="11" t="str">
        <f aca="false">IF(H66&lt;=Нормативы!$C$4,"норма","превышение")</f>
        <v>норма</v>
      </c>
      <c r="J66" s="11" t="str">
        <f aca="false">IF(AND(E66="норма",G66="норма",I66="норма"),"Проба соответствует","Проба не соответствует")</f>
        <v>Проба соответствует</v>
      </c>
    </row>
    <row r="67" customFormat="false" ht="15" hidden="false" customHeight="false" outlineLevel="0" collapsed="false">
      <c r="A67" s="9" t="str">
        <f aca="false">Данные_ввод!A67</f>
        <v>2026-01-27</v>
      </c>
      <c r="B67" s="9" t="str">
        <f aca="false">Данные_ввод!B67</f>
        <v>S-0066</v>
      </c>
      <c r="C67" s="9" t="str">
        <f aca="false">Данные_ввод!C67</f>
        <v>Точка-2 (резервуар)</v>
      </c>
      <c r="D67" s="10" t="n">
        <f aca="false">(Данные_ввод!D67-Градуировка_Fe!$B$4)/Градуировка_Fe!$B$3</f>
        <v>0.157888450973367</v>
      </c>
      <c r="E67" s="11" t="str">
        <f aca="false">IF(D67&lt;=Нормативы!$C$2,"норма","превышение")</f>
        <v>норма</v>
      </c>
      <c r="F67" s="12" t="n">
        <f aca="false">Данные_ввод!E67</f>
        <v>8.18</v>
      </c>
      <c r="G67" s="11" t="str">
        <f aca="false">IF(AND(F67&gt;=Нормативы!$B$3,F67&lt;=Нормативы!$C$3),"норма","превышение")</f>
        <v>норма</v>
      </c>
      <c r="H67" s="13" t="n">
        <f aca="false">Данные_ввод!G67</f>
        <v>460</v>
      </c>
      <c r="I67" s="11" t="str">
        <f aca="false">IF(H67&lt;=Нормативы!$C$4,"норма","превышение")</f>
        <v>норма</v>
      </c>
      <c r="J67" s="11" t="str">
        <f aca="false">IF(AND(E67="норма",G67="норма",I67="норма"),"Проба соответствует","Проба не соответствует")</f>
        <v>Проба соответствует</v>
      </c>
    </row>
    <row r="68" customFormat="false" ht="15" hidden="false" customHeight="false" outlineLevel="0" collapsed="false">
      <c r="A68" s="9" t="str">
        <f aca="false">Данные_ввод!A68</f>
        <v>2026-01-27</v>
      </c>
      <c r="B68" s="9" t="str">
        <f aca="false">Данные_ввод!B68</f>
        <v>S-0067</v>
      </c>
      <c r="C68" s="9" t="str">
        <f aca="false">Данные_ввод!C68</f>
        <v>Точка-2 (резервуар)</v>
      </c>
      <c r="D68" s="10" t="n">
        <f aca="false">(Данные_ввод!D68-Градуировка_Fe!$B$4)/Градуировка_Fe!$B$3</f>
        <v>0.2007643616386</v>
      </c>
      <c r="E68" s="11" t="str">
        <f aca="false">IF(D68&lt;=Нормативы!$C$2,"норма","превышение")</f>
        <v>норма</v>
      </c>
      <c r="F68" s="12" t="n">
        <f aca="false">Данные_ввод!E68</f>
        <v>5.64</v>
      </c>
      <c r="G68" s="11" t="str">
        <f aca="false">IF(AND(F68&gt;=Нормативы!$B$3,F68&lt;=Нормативы!$C$3),"норма","превышение")</f>
        <v>превышение</v>
      </c>
      <c r="H68" s="13" t="n">
        <f aca="false">Данные_ввод!G68</f>
        <v>614</v>
      </c>
      <c r="I68" s="11" t="str">
        <f aca="false">IF(H68&lt;=Нормативы!$C$4,"норма","превышение")</f>
        <v>норма</v>
      </c>
      <c r="J68" s="11" t="str">
        <f aca="false">IF(AND(E68="норма",G68="норма",I68="норма"),"Проба соответствует","Проба не соответствует")</f>
        <v>Проба не соответствует</v>
      </c>
    </row>
    <row r="69" customFormat="false" ht="15" hidden="false" customHeight="false" outlineLevel="0" collapsed="false">
      <c r="A69" s="9" t="str">
        <f aca="false">Данные_ввод!A69</f>
        <v>2026-01-27</v>
      </c>
      <c r="B69" s="9" t="str">
        <f aca="false">Данные_ввод!B69</f>
        <v>S-0068</v>
      </c>
      <c r="C69" s="9" t="str">
        <f aca="false">Данные_ввод!C69</f>
        <v>Точка-2 (резервуар)</v>
      </c>
      <c r="D69" s="10" t="n">
        <f aca="false">(Данные_ввод!D69-Градуировка_Fe!$B$4)/Градуировка_Fe!$B$3</f>
        <v>-0.000477726024125163</v>
      </c>
      <c r="E69" s="11" t="str">
        <f aca="false">IF(D69&lt;=Нормативы!$C$2,"норма","превышение")</f>
        <v>норма</v>
      </c>
      <c r="F69" s="12" t="n">
        <f aca="false">Данные_ввод!E69</f>
        <v>7.1</v>
      </c>
      <c r="G69" s="11" t="str">
        <f aca="false">IF(AND(F69&gt;=Нормативы!$B$3,F69&lt;=Нормативы!$C$3),"норма","превышение")</f>
        <v>норма</v>
      </c>
      <c r="H69" s="13" t="n">
        <f aca="false">Данные_ввод!G69</f>
        <v>630</v>
      </c>
      <c r="I69" s="11" t="str">
        <f aca="false">IF(H69&lt;=Нормативы!$C$4,"норма","превышение")</f>
        <v>норма</v>
      </c>
      <c r="J69" s="11" t="str">
        <f aca="false">IF(AND(E69="норма",G69="норма",I69="норма"),"Проба соответствует","Проба не соответствует")</f>
        <v>Проба соответствует</v>
      </c>
    </row>
    <row r="70" customFormat="false" ht="15" hidden="false" customHeight="false" outlineLevel="0" collapsed="false">
      <c r="A70" s="9" t="str">
        <f aca="false">Данные_ввод!A70</f>
        <v>2026-01-28</v>
      </c>
      <c r="B70" s="9" t="str">
        <f aca="false">Данные_ввод!B70</f>
        <v>S-0069</v>
      </c>
      <c r="C70" s="9" t="str">
        <f aca="false">Данные_ввод!C70</f>
        <v>Точка-3 (сброс)</v>
      </c>
      <c r="D70" s="10" t="n">
        <f aca="false">(Данные_ввод!D70-Градуировка_Fe!$B$4)/Градуировка_Fe!$B$3</f>
        <v>0.292129463752538</v>
      </c>
      <c r="E70" s="11" t="str">
        <f aca="false">IF(D70&lt;=Нормативы!$C$2,"норма","превышение")</f>
        <v>норма</v>
      </c>
      <c r="F70" s="12" t="n">
        <f aca="false">Данные_ввод!E70</f>
        <v>7.02</v>
      </c>
      <c r="G70" s="11" t="str">
        <f aca="false">IF(AND(F70&gt;=Нормативы!$B$3,F70&lt;=Нормативы!$C$3),"норма","превышение")</f>
        <v>норма</v>
      </c>
      <c r="H70" s="13" t="n">
        <f aca="false">Данные_ввод!G70</f>
        <v>691</v>
      </c>
      <c r="I70" s="11" t="str">
        <f aca="false">IF(H70&lt;=Нормативы!$C$4,"норма","превышение")</f>
        <v>норма</v>
      </c>
      <c r="J70" s="11" t="str">
        <f aca="false">IF(AND(E70="норма",G70="норма",I70="норма"),"Проба соответствует","Проба не соответствует")</f>
        <v>Проба соответствует</v>
      </c>
    </row>
    <row r="71" customFormat="false" ht="15" hidden="false" customHeight="false" outlineLevel="0" collapsed="false">
      <c r="A71" s="9" t="str">
        <f aca="false">Данные_ввод!A71</f>
        <v>2026-01-28</v>
      </c>
      <c r="B71" s="9" t="str">
        <f aca="false">Данные_ввод!B71</f>
        <v>S-0070</v>
      </c>
      <c r="C71" s="9" t="str">
        <f aca="false">Данные_ввод!C71</f>
        <v>Точка-1 (скважина)</v>
      </c>
      <c r="D71" s="10" t="n">
        <f aca="false">(Данные_ввод!D71-Градуировка_Fe!$B$4)/Градуировка_Fe!$B$3</f>
        <v>0.0573271228950197</v>
      </c>
      <c r="E71" s="11" t="str">
        <f aca="false">IF(D71&lt;=Нормативы!$C$2,"норма","превышение")</f>
        <v>норма</v>
      </c>
      <c r="F71" s="12" t="n">
        <f aca="false">Данные_ввод!E71</f>
        <v>7.47</v>
      </c>
      <c r="G71" s="11" t="str">
        <f aca="false">IF(AND(F71&gt;=Нормативы!$B$3,F71&lt;=Нормативы!$C$3),"норма","превышение")</f>
        <v>норма</v>
      </c>
      <c r="H71" s="13" t="n">
        <f aca="false">Данные_ввод!G71</f>
        <v>823</v>
      </c>
      <c r="I71" s="11" t="str">
        <f aca="false">IF(H71&lt;=Нормативы!$C$4,"норма","превышение")</f>
        <v>норма</v>
      </c>
      <c r="J71" s="11" t="str">
        <f aca="false">IF(AND(E71="норма",G71="норма",I71="норма"),"Проба соответствует","Проба не соответствует")</f>
        <v>Проба соответствует</v>
      </c>
    </row>
    <row r="72" customFormat="false" ht="15" hidden="false" customHeight="false" outlineLevel="0" collapsed="false">
      <c r="A72" s="9" t="str">
        <f aca="false">Данные_ввод!A72</f>
        <v>2026-01-28</v>
      </c>
      <c r="B72" s="9" t="str">
        <f aca="false">Данные_ввод!B72</f>
        <v>S-0071</v>
      </c>
      <c r="C72" s="9" t="str">
        <f aca="false">Данные_ввод!C72</f>
        <v>Точка-3 (сброс)</v>
      </c>
      <c r="D72" s="10" t="n">
        <f aca="false">(Данные_ввод!D72-Градуировка_Fe!$B$4)/Градуировка_Fe!$B$3</f>
        <v>0.44213543532784</v>
      </c>
      <c r="E72" s="11" t="str">
        <f aca="false">IF(D72&lt;=Нормативы!$C$2,"норма","превышение")</f>
        <v>превышение</v>
      </c>
      <c r="F72" s="12" t="n">
        <f aca="false">Данные_ввод!E72</f>
        <v>6.8</v>
      </c>
      <c r="G72" s="11" t="str">
        <f aca="false">IF(AND(F72&gt;=Нормативы!$B$3,F72&lt;=Нормативы!$C$3),"норма","превышение")</f>
        <v>норма</v>
      </c>
      <c r="H72" s="13" t="n">
        <f aca="false">Данные_ввод!G72</f>
        <v>401</v>
      </c>
      <c r="I72" s="11" t="str">
        <f aca="false">IF(H72&lt;=Нормативы!$C$4,"норма","превышение")</f>
        <v>норма</v>
      </c>
      <c r="J72" s="11" t="str">
        <f aca="false">IF(AND(E72="норма",G72="норма",I72="норма"),"Проба соответствует","Проба не соответствует")</f>
        <v>Проба не соответствует</v>
      </c>
    </row>
    <row r="73" customFormat="false" ht="15" hidden="false" customHeight="false" outlineLevel="0" collapsed="false">
      <c r="A73" s="9" t="str">
        <f aca="false">Данные_ввод!A73</f>
        <v>2026-01-28</v>
      </c>
      <c r="B73" s="9" t="str">
        <f aca="false">Данные_ввод!B73</f>
        <v>S-0072</v>
      </c>
      <c r="C73" s="9" t="str">
        <f aca="false">Данные_ввод!C73</f>
        <v>Точка-1 (скважина)</v>
      </c>
      <c r="D73" s="10" t="n">
        <f aca="false">(Данные_ввод!D73-Градуировка_Fe!$B$4)/Градуировка_Fe!$B$3</f>
        <v>0.16099367013018</v>
      </c>
      <c r="E73" s="11" t="str">
        <f aca="false">IF(D73&lt;=Нормативы!$C$2,"норма","превышение")</f>
        <v>норма</v>
      </c>
      <c r="F73" s="12" t="n">
        <f aca="false">Данные_ввод!E73</f>
        <v>6.81</v>
      </c>
      <c r="G73" s="11" t="str">
        <f aca="false">IF(AND(F73&gt;=Нормативы!$B$3,F73&lt;=Нормативы!$C$3),"норма","превышение")</f>
        <v>норма</v>
      </c>
      <c r="H73" s="13" t="n">
        <f aca="false">Данные_ввод!G73</f>
        <v>583</v>
      </c>
      <c r="I73" s="11" t="str">
        <f aca="false">IF(H73&lt;=Нормативы!$C$4,"норма","превышение")</f>
        <v>норма</v>
      </c>
      <c r="J73" s="11" t="str">
        <f aca="false">IF(AND(E73="норма",G73="норма",I73="норма"),"Проба соответствует","Проба не соответствует")</f>
        <v>Проба соответствует</v>
      </c>
    </row>
    <row r="74" customFormat="false" ht="15" hidden="false" customHeight="false" outlineLevel="0" collapsed="false">
      <c r="A74" s="9" t="str">
        <f aca="false">Данные_ввод!A74</f>
        <v>2026-01-29</v>
      </c>
      <c r="B74" s="9" t="str">
        <f aca="false">Данные_ввод!B74</f>
        <v>S-0073</v>
      </c>
      <c r="C74" s="9" t="str">
        <f aca="false">Данные_ввод!C74</f>
        <v>Точка-2 (резервуар)</v>
      </c>
      <c r="D74" s="10" t="n">
        <f aca="false">(Данные_ввод!D74-Градуировка_Fe!$B$4)/Градуировка_Fe!$B$3</f>
        <v>0.251522751701899</v>
      </c>
      <c r="E74" s="11" t="str">
        <f aca="false">IF(D74&lt;=Нормативы!$C$2,"норма","превышение")</f>
        <v>норма</v>
      </c>
      <c r="F74" s="12" t="n">
        <f aca="false">Данные_ввод!E74</f>
        <v>7.02</v>
      </c>
      <c r="G74" s="11" t="str">
        <f aca="false">IF(AND(F74&gt;=Нормативы!$B$3,F74&lt;=Нормативы!$C$3),"норма","превышение")</f>
        <v>норма</v>
      </c>
      <c r="H74" s="13" t="n">
        <f aca="false">Данные_ввод!G74</f>
        <v>774</v>
      </c>
      <c r="I74" s="11" t="str">
        <f aca="false">IF(H74&lt;=Нормативы!$C$4,"норма","превышение")</f>
        <v>норма</v>
      </c>
      <c r="J74" s="11" t="str">
        <f aca="false">IF(AND(E74="норма",G74="норма",I74="норма"),"Проба соответствует","Проба не соответствует")</f>
        <v>Проба соответствует</v>
      </c>
    </row>
    <row r="75" customFormat="false" ht="15" hidden="false" customHeight="false" outlineLevel="0" collapsed="false">
      <c r="A75" s="9" t="str">
        <f aca="false">Данные_ввод!A75</f>
        <v>2026-01-29</v>
      </c>
      <c r="B75" s="9" t="str">
        <f aca="false">Данные_ввод!B75</f>
        <v>S-0074</v>
      </c>
      <c r="C75" s="9" t="str">
        <f aca="false">Данные_ввод!C75</f>
        <v>Точка-2 (резервуар)</v>
      </c>
      <c r="D75" s="10" t="n">
        <f aca="false">(Данные_ввод!D75-Градуировка_Fe!$B$4)/Градуировка_Fe!$B$3</f>
        <v>0.158366176997492</v>
      </c>
      <c r="E75" s="11" t="str">
        <f aca="false">IF(D75&lt;=Нормативы!$C$2,"норма","превышение")</f>
        <v>норма</v>
      </c>
      <c r="F75" s="12" t="n">
        <f aca="false">Данные_ввод!E75</f>
        <v>6.86</v>
      </c>
      <c r="G75" s="11" t="str">
        <f aca="false">IF(AND(F75&gt;=Нормативы!$B$3,F75&lt;=Нормативы!$C$3),"норма","превышение")</f>
        <v>норма</v>
      </c>
      <c r="H75" s="13" t="n">
        <f aca="false">Данные_ввод!G75</f>
        <v>208</v>
      </c>
      <c r="I75" s="11" t="str">
        <f aca="false">IF(H75&lt;=Нормативы!$C$4,"норма","превышение")</f>
        <v>норма</v>
      </c>
      <c r="J75" s="11" t="str">
        <f aca="false">IF(AND(E75="норма",G75="норма",I75="норма"),"Проба соответствует","Проба не соответствует")</f>
        <v>Проба соответствует</v>
      </c>
    </row>
    <row r="76" customFormat="false" ht="15" hidden="false" customHeight="false" outlineLevel="0" collapsed="false">
      <c r="A76" s="9" t="str">
        <f aca="false">Данные_ввод!A76</f>
        <v>2026-01-29</v>
      </c>
      <c r="B76" s="9" t="str">
        <f aca="false">Данные_ввод!B76</f>
        <v>S-0075</v>
      </c>
      <c r="C76" s="9" t="str">
        <f aca="false">Данные_ввод!C76</f>
        <v>Точка-1 (скважина)</v>
      </c>
      <c r="D76" s="10" t="n">
        <f aca="false">(Данные_ввод!D76-Градуировка_Fe!$B$4)/Градуировка_Fe!$B$3</f>
        <v>0.0635375612086468</v>
      </c>
      <c r="E76" s="11" t="str">
        <f aca="false">IF(D76&lt;=Нормативы!$C$2,"норма","превышение")</f>
        <v>норма</v>
      </c>
      <c r="F76" s="12" t="n">
        <f aca="false">Данные_ввод!E76</f>
        <v>6.6</v>
      </c>
      <c r="G76" s="11" t="str">
        <f aca="false">IF(AND(F76&gt;=Нормативы!$B$3,F76&lt;=Нормативы!$C$3),"норма","превышение")</f>
        <v>норма</v>
      </c>
      <c r="H76" s="13" t="n">
        <f aca="false">Данные_ввод!G76</f>
        <v>648</v>
      </c>
      <c r="I76" s="11" t="str">
        <f aca="false">IF(H76&lt;=Нормативы!$C$4,"норма","превышение")</f>
        <v>норма</v>
      </c>
      <c r="J76" s="11" t="str">
        <f aca="false">IF(AND(E76="норма",G76="норма",I76="норма"),"Проба соответствует","Проба не соответствует")</f>
        <v>Проба соответствует</v>
      </c>
    </row>
    <row r="77" customFormat="false" ht="15" hidden="false" customHeight="false" outlineLevel="0" collapsed="false">
      <c r="A77" s="9" t="str">
        <f aca="false">Данные_ввод!A77</f>
        <v>2026-01-29</v>
      </c>
      <c r="B77" s="9" t="str">
        <f aca="false">Данные_ввод!B77</f>
        <v>S-0076</v>
      </c>
      <c r="C77" s="9" t="str">
        <f aca="false">Данные_ввод!C77</f>
        <v>Точка-1 (скважина)</v>
      </c>
      <c r="D77" s="10" t="n">
        <f aca="false">(Данные_ввод!D77-Градуировка_Fe!$B$4)/Градуировка_Fe!$B$3</f>
        <v>0.0226919861459453</v>
      </c>
      <c r="E77" s="11" t="str">
        <f aca="false">IF(D77&lt;=Нормативы!$C$2,"норма","превышение")</f>
        <v>норма</v>
      </c>
      <c r="F77" s="12" t="n">
        <f aca="false">Данные_ввод!E77</f>
        <v>6.99</v>
      </c>
      <c r="G77" s="11" t="str">
        <f aca="false">IF(AND(F77&gt;=Нормативы!$B$3,F77&lt;=Нормативы!$C$3),"норма","превышение")</f>
        <v>норма</v>
      </c>
      <c r="H77" s="13" t="n">
        <f aca="false">Данные_ввод!G77</f>
        <v>796</v>
      </c>
      <c r="I77" s="11" t="str">
        <f aca="false">IF(H77&lt;=Нормативы!$C$4,"норма","превышение")</f>
        <v>норма</v>
      </c>
      <c r="J77" s="11" t="str">
        <f aca="false">IF(AND(E77="норма",G77="норма",I77="норма"),"Проба соответствует","Проба не соответствует")</f>
        <v>Проба соответствует</v>
      </c>
    </row>
    <row r="78" customFormat="false" ht="15" hidden="false" customHeight="false" outlineLevel="0" collapsed="false">
      <c r="A78" s="9" t="str">
        <f aca="false">Данные_ввод!A78</f>
        <v>2026-01-30</v>
      </c>
      <c r="B78" s="9" t="str">
        <f aca="false">Данные_ввод!B78</f>
        <v>S-0077</v>
      </c>
      <c r="C78" s="9" t="str">
        <f aca="false">Данные_ввод!C78</f>
        <v>Точка-3 (сброс)</v>
      </c>
      <c r="D78" s="10" t="n">
        <f aca="false">(Данные_ввод!D78-Градуировка_Fe!$B$4)/Градуировка_Fe!$B$3</f>
        <v>0.126836259405231</v>
      </c>
      <c r="E78" s="11" t="str">
        <f aca="false">IF(D78&lt;=Нормативы!$C$2,"норма","превышение")</f>
        <v>норма</v>
      </c>
      <c r="F78" s="12" t="n">
        <f aca="false">Данные_ввод!E78</f>
        <v>7.77</v>
      </c>
      <c r="G78" s="11" t="str">
        <f aca="false">IF(AND(F78&gt;=Нормативы!$B$3,F78&lt;=Нормативы!$C$3),"норма","превышение")</f>
        <v>норма</v>
      </c>
      <c r="H78" s="13" t="n">
        <f aca="false">Данные_ввод!G78</f>
        <v>720</v>
      </c>
      <c r="I78" s="11" t="str">
        <f aca="false">IF(H78&lt;=Нормативы!$C$4,"норма","превышение")</f>
        <v>норма</v>
      </c>
      <c r="J78" s="11" t="str">
        <f aca="false">IF(AND(E78="норма",G78="норма",I78="норма"),"Проба соответствует","Проба не соответствует")</f>
        <v>Проба соответствует</v>
      </c>
    </row>
    <row r="79" customFormat="false" ht="15" hidden="false" customHeight="false" outlineLevel="0" collapsed="false">
      <c r="A79" s="9" t="str">
        <f aca="false">Данные_ввод!A79</f>
        <v>2026-01-30</v>
      </c>
      <c r="B79" s="9" t="str">
        <f aca="false">Данные_ввод!B79</f>
        <v>S-0078</v>
      </c>
      <c r="C79" s="9" t="str">
        <f aca="false">Данные_ввод!C79</f>
        <v>Точка-1 (скважина)</v>
      </c>
      <c r="D79" s="10" t="n">
        <f aca="false">(Данные_ввод!D79-Градуировка_Fe!$B$4)/Градуировка_Fe!$B$3</f>
        <v>0.187388032963096</v>
      </c>
      <c r="E79" s="11" t="str">
        <f aca="false">IF(D79&lt;=Нормативы!$C$2,"норма","превышение")</f>
        <v>норма</v>
      </c>
      <c r="F79" s="12" t="n">
        <f aca="false">Данные_ввод!E79</f>
        <v>6.74</v>
      </c>
      <c r="G79" s="11" t="str">
        <f aca="false">IF(AND(F79&gt;=Нормативы!$B$3,F79&lt;=Нормативы!$C$3),"норма","превышение")</f>
        <v>норма</v>
      </c>
      <c r="H79" s="13" t="n">
        <f aca="false">Данные_ввод!G79</f>
        <v>591</v>
      </c>
      <c r="I79" s="11" t="str">
        <f aca="false">IF(H79&lt;=Нормативы!$C$4,"норма","превышение")</f>
        <v>норма</v>
      </c>
      <c r="J79" s="11" t="str">
        <f aca="false">IF(AND(E79="норма",G79="норма",I79="норма"),"Проба соответствует","Проба не соответствует")</f>
        <v>Проба соответствует</v>
      </c>
    </row>
    <row r="80" customFormat="false" ht="15" hidden="false" customHeight="false" outlineLevel="0" collapsed="false">
      <c r="A80" s="9" t="str">
        <f aca="false">Данные_ввод!A80</f>
        <v>2026-01-30</v>
      </c>
      <c r="B80" s="9" t="str">
        <f aca="false">Данные_ввод!B80</f>
        <v>S-0079</v>
      </c>
      <c r="C80" s="9" t="str">
        <f aca="false">Данные_ввод!C80</f>
        <v>Точка-2 (резервуар)</v>
      </c>
      <c r="D80" s="10" t="n">
        <f aca="false">(Данные_ввод!D80-Градуировка_Fe!$B$4)/Градуировка_Fe!$B$3</f>
        <v>0.173772841275528</v>
      </c>
      <c r="E80" s="11" t="str">
        <f aca="false">IF(D80&lt;=Нормативы!$C$2,"норма","превышение")</f>
        <v>норма</v>
      </c>
      <c r="F80" s="12" t="n">
        <f aca="false">Данные_ввод!E80</f>
        <v>6.43</v>
      </c>
      <c r="G80" s="11" t="str">
        <f aca="false">IF(AND(F80&gt;=Нормативы!$B$3,F80&lt;=Нормативы!$C$3),"норма","превышение")</f>
        <v>норма</v>
      </c>
      <c r="H80" s="13" t="n">
        <f aca="false">Данные_ввод!G80</f>
        <v>830</v>
      </c>
      <c r="I80" s="11" t="str">
        <f aca="false">IF(H80&lt;=Нормативы!$C$4,"норма","превышение")</f>
        <v>норма</v>
      </c>
      <c r="J80" s="11" t="str">
        <f aca="false">IF(AND(E80="норма",G80="норма",I80="норма"),"Проба соответствует","Проба не соответствует")</f>
        <v>Проба соответствует</v>
      </c>
    </row>
    <row r="81" customFormat="false" ht="15" hidden="false" customHeight="false" outlineLevel="0" collapsed="false">
      <c r="A81" s="9" t="str">
        <f aca="false">Данные_ввод!A81</f>
        <v>2026-01-30</v>
      </c>
      <c r="B81" s="9" t="str">
        <f aca="false">Данные_ввод!B81</f>
        <v>S-0080</v>
      </c>
      <c r="C81" s="9" t="str">
        <f aca="false">Данные_ввод!C81</f>
        <v>Точка-3 (сброс)</v>
      </c>
      <c r="D81" s="10" t="n">
        <f aca="false">(Данные_ввод!D81-Градуировка_Fe!$B$4)/Градуировка_Fe!$B$3</f>
        <v>0.146661889406425</v>
      </c>
      <c r="E81" s="11" t="str">
        <f aca="false">IF(D81&lt;=Нормативы!$C$2,"норма","превышение")</f>
        <v>норма</v>
      </c>
      <c r="F81" s="12" t="n">
        <f aca="false">Данные_ввод!E81</f>
        <v>6.8</v>
      </c>
      <c r="G81" s="11" t="str">
        <f aca="false">IF(AND(F81&gt;=Нормативы!$B$3,F81&lt;=Нормативы!$C$3),"норма","превышение")</f>
        <v>норма</v>
      </c>
      <c r="H81" s="13" t="n">
        <f aca="false">Данные_ввод!G81</f>
        <v>759</v>
      </c>
      <c r="I81" s="11" t="str">
        <f aca="false">IF(H81&lt;=Нормативы!$C$4,"норма","превышение")</f>
        <v>норма</v>
      </c>
      <c r="J81" s="11" t="str">
        <f aca="false">IF(AND(E81="норма",G81="норма",I81="норма"),"Проба соответствует","Проба не соответствует")</f>
        <v>Проба соответствует</v>
      </c>
    </row>
    <row r="82" customFormat="false" ht="15" hidden="false" customHeight="false" outlineLevel="0" collapsed="false">
      <c r="A82" s="9" t="str">
        <f aca="false">Данные_ввод!A82</f>
        <v>2026-02-02</v>
      </c>
      <c r="B82" s="9" t="str">
        <f aca="false">Данные_ввод!B82</f>
        <v>S-0081</v>
      </c>
      <c r="C82" s="9" t="str">
        <f aca="false">Данные_ввод!C82</f>
        <v>Точка-2 (резервуар)</v>
      </c>
      <c r="D82" s="10" t="n">
        <f aca="false">(Данные_ввод!D82-Градуировка_Fe!$B$4)/Градуировка_Fe!$B$3</f>
        <v>0.292846052788726</v>
      </c>
      <c r="E82" s="11" t="str">
        <f aca="false">IF(D82&lt;=Нормативы!$C$2,"норма","превышение")</f>
        <v>норма</v>
      </c>
      <c r="F82" s="12" t="n">
        <f aca="false">Данные_ввод!E82</f>
        <v>5.98</v>
      </c>
      <c r="G82" s="11" t="str">
        <f aca="false">IF(AND(F82&gt;=Нормативы!$B$3,F82&lt;=Нормативы!$C$3),"норма","превышение")</f>
        <v>превышение</v>
      </c>
      <c r="H82" s="13" t="n">
        <f aca="false">Данные_ввод!G82</f>
        <v>806</v>
      </c>
      <c r="I82" s="11" t="str">
        <f aca="false">IF(H82&lt;=Нормативы!$C$4,"норма","превышение")</f>
        <v>норма</v>
      </c>
      <c r="J82" s="11" t="str">
        <f aca="false">IF(AND(E82="норма",G82="норма",I82="норма"),"Проба соответствует","Проба не соответствует")</f>
        <v>Проба не соответствует</v>
      </c>
    </row>
    <row r="83" customFormat="false" ht="15" hidden="false" customHeight="false" outlineLevel="0" collapsed="false">
      <c r="A83" s="9" t="str">
        <f aca="false">Данные_ввод!A83</f>
        <v>2026-02-02</v>
      </c>
      <c r="B83" s="9" t="str">
        <f aca="false">Данные_ввод!B83</f>
        <v>S-0082</v>
      </c>
      <c r="C83" s="9" t="str">
        <f aca="false">Данные_ввод!C83</f>
        <v>Точка-2 (резервуар)</v>
      </c>
      <c r="D83" s="10" t="n">
        <f aca="false">(Данные_ввод!D83-Градуировка_Fe!$B$4)/Градуировка_Fe!$B$3</f>
        <v>0.113459930729727</v>
      </c>
      <c r="E83" s="11" t="str">
        <f aca="false">IF(D83&lt;=Нормативы!$C$2,"норма","превышение")</f>
        <v>норма</v>
      </c>
      <c r="F83" s="12" t="n">
        <f aca="false">Данные_ввод!E83</f>
        <v>6.74</v>
      </c>
      <c r="G83" s="11" t="str">
        <f aca="false">IF(AND(F83&gt;=Нормативы!$B$3,F83&lt;=Нормативы!$C$3),"норма","превышение")</f>
        <v>норма</v>
      </c>
      <c r="H83" s="13" t="n">
        <f aca="false">Данные_ввод!G83</f>
        <v>612</v>
      </c>
      <c r="I83" s="11" t="str">
        <f aca="false">IF(H83&lt;=Нормативы!$C$4,"норма","превышение")</f>
        <v>норма</v>
      </c>
      <c r="J83" s="11" t="str">
        <f aca="false">IF(AND(E83="норма",G83="норма",I83="норма"),"Проба соответствует","Проба не соответствует")</f>
        <v>Проба соответствует</v>
      </c>
    </row>
    <row r="84" customFormat="false" ht="15" hidden="false" customHeight="false" outlineLevel="0" collapsed="false">
      <c r="A84" s="9" t="str">
        <f aca="false">Данные_ввод!A84</f>
        <v>2026-02-02</v>
      </c>
      <c r="B84" s="9" t="str">
        <f aca="false">Данные_ввод!B84</f>
        <v>S-0083</v>
      </c>
      <c r="C84" s="9" t="str">
        <f aca="false">Данные_ввод!C84</f>
        <v>Точка-2 (резервуар)</v>
      </c>
      <c r="D84" s="10" t="n">
        <f aca="false">(Данные_ввод!D84-Градуировка_Fe!$B$4)/Градуировка_Fe!$B$3</f>
        <v>0.195748238385286</v>
      </c>
      <c r="E84" s="11" t="str">
        <f aca="false">IF(D84&lt;=Нормативы!$C$2,"норма","превышение")</f>
        <v>норма</v>
      </c>
      <c r="F84" s="12" t="n">
        <f aca="false">Данные_ввод!E84</f>
        <v>7.31</v>
      </c>
      <c r="G84" s="11" t="str">
        <f aca="false">IF(AND(F84&gt;=Нормативы!$B$3,F84&lt;=Нормативы!$C$3),"норма","превышение")</f>
        <v>норма</v>
      </c>
      <c r="H84" s="13" t="n">
        <f aca="false">Данные_ввод!G84</f>
        <v>763</v>
      </c>
      <c r="I84" s="11" t="str">
        <f aca="false">IF(H84&lt;=Нормативы!$C$4,"норма","превышение")</f>
        <v>норма</v>
      </c>
      <c r="J84" s="11" t="str">
        <f aca="false">IF(AND(E84="норма",G84="норма",I84="норма"),"Проба соответствует","Проба не соответствует")</f>
        <v>Проба соответствует</v>
      </c>
    </row>
    <row r="85" customFormat="false" ht="15" hidden="false" customHeight="false" outlineLevel="0" collapsed="false">
      <c r="A85" s="9" t="str">
        <f aca="false">Данные_ввод!A85</f>
        <v>2026-02-02</v>
      </c>
      <c r="B85" s="9" t="str">
        <f aca="false">Данные_ввод!B85</f>
        <v>S-0084</v>
      </c>
      <c r="C85" s="9" t="str">
        <f aca="false">Данные_ввод!C85</f>
        <v>Точка-1 (скважина)</v>
      </c>
      <c r="D85" s="10" t="n">
        <f aca="false">(Данные_ввод!D85-Градуировка_Fe!$B$4)/Градуировка_Fe!$B$3</f>
        <v>0.101636211632629</v>
      </c>
      <c r="E85" s="11" t="str">
        <f aca="false">IF(D85&lt;=Нормативы!$C$2,"норма","превышение")</f>
        <v>норма</v>
      </c>
      <c r="F85" s="12" t="n">
        <f aca="false">Данные_ввод!E85</f>
        <v>6.55</v>
      </c>
      <c r="G85" s="11" t="str">
        <f aca="false">IF(AND(F85&gt;=Нормативы!$B$3,F85&lt;=Нормативы!$C$3),"норма","превышение")</f>
        <v>норма</v>
      </c>
      <c r="H85" s="13" t="n">
        <f aca="false">Данные_ввод!G85</f>
        <v>491</v>
      </c>
      <c r="I85" s="11" t="str">
        <f aca="false">IF(H85&lt;=Нормативы!$C$4,"норма","превышение")</f>
        <v>норма</v>
      </c>
      <c r="J85" s="11" t="str">
        <f aca="false">IF(AND(E85="норма",G85="норма",I85="норма"),"Проба соответствует","Проба не соответствует")</f>
        <v>Проба соответствует</v>
      </c>
    </row>
    <row r="86" customFormat="false" ht="15" hidden="false" customHeight="false" outlineLevel="0" collapsed="false">
      <c r="A86" s="9" t="str">
        <f aca="false">Данные_ввод!A86</f>
        <v>2026-02-03</v>
      </c>
      <c r="B86" s="9" t="str">
        <f aca="false">Данные_ввод!B86</f>
        <v>S-0085</v>
      </c>
      <c r="C86" s="9" t="str">
        <f aca="false">Данные_ввод!C86</f>
        <v>Точка-2 (резервуар)</v>
      </c>
      <c r="D86" s="10" t="n">
        <f aca="false">(Данные_ввод!D86-Градуировка_Fe!$B$4)/Градуировка_Fe!$B$3</f>
        <v>0.236235518929894</v>
      </c>
      <c r="E86" s="11" t="str">
        <f aca="false">IF(D86&lt;=Нормативы!$C$2,"норма","превышение")</f>
        <v>норма</v>
      </c>
      <c r="F86" s="12" t="n">
        <f aca="false">Данные_ввод!E86</f>
        <v>6.61</v>
      </c>
      <c r="G86" s="11" t="str">
        <f aca="false">IF(AND(F86&gt;=Нормативы!$B$3,F86&lt;=Нормативы!$C$3),"норма","превышение")</f>
        <v>норма</v>
      </c>
      <c r="H86" s="13" t="n">
        <f aca="false">Данные_ввод!G86</f>
        <v>543</v>
      </c>
      <c r="I86" s="11" t="str">
        <f aca="false">IF(H86&lt;=Нормативы!$C$4,"норма","превышение")</f>
        <v>норма</v>
      </c>
      <c r="J86" s="11" t="str">
        <f aca="false">IF(AND(E86="норма",G86="норма",I86="норма"),"Проба соответствует","Проба не соответствует")</f>
        <v>Проба соответствует</v>
      </c>
    </row>
    <row r="87" customFormat="false" ht="15" hidden="false" customHeight="false" outlineLevel="0" collapsed="false">
      <c r="A87" s="9" t="str">
        <f aca="false">Данные_ввод!A87</f>
        <v>2026-02-03</v>
      </c>
      <c r="B87" s="9" t="str">
        <f aca="false">Данные_ввод!B87</f>
        <v>S-0086</v>
      </c>
      <c r="C87" s="9" t="str">
        <f aca="false">Данные_ввод!C87</f>
        <v>Точка-1 (скважина)</v>
      </c>
      <c r="D87" s="10" t="n">
        <f aca="false">(Данные_ввод!D87-Градуировка_Fe!$B$4)/Градуировка_Fe!$B$3</f>
        <v>0.00692702734981488</v>
      </c>
      <c r="E87" s="11" t="str">
        <f aca="false">IF(D87&lt;=Нормативы!$C$2,"норма","превышение")</f>
        <v>норма</v>
      </c>
      <c r="F87" s="12" t="n">
        <f aca="false">Данные_ввод!E87</f>
        <v>7.28</v>
      </c>
      <c r="G87" s="11" t="str">
        <f aca="false">IF(AND(F87&gt;=Нормативы!$B$3,F87&lt;=Нормативы!$C$3),"норма","превышение")</f>
        <v>норма</v>
      </c>
      <c r="H87" s="13" t="n">
        <f aca="false">Данные_ввод!G87</f>
        <v>772</v>
      </c>
      <c r="I87" s="11" t="str">
        <f aca="false">IF(H87&lt;=Нормативы!$C$4,"норма","превышение")</f>
        <v>норма</v>
      </c>
      <c r="J87" s="11" t="str">
        <f aca="false">IF(AND(E87="норма",G87="норма",I87="норма"),"Проба соответствует","Проба не соответствует")</f>
        <v>Проба соответствует</v>
      </c>
    </row>
    <row r="88" customFormat="false" ht="15" hidden="false" customHeight="false" outlineLevel="0" collapsed="false">
      <c r="A88" s="9" t="str">
        <f aca="false">Данные_ввод!A88</f>
        <v>2026-02-03</v>
      </c>
      <c r="B88" s="9" t="str">
        <f aca="false">Данные_ввод!B88</f>
        <v>S-0087</v>
      </c>
      <c r="C88" s="9" t="str">
        <f aca="false">Данные_ввод!C88</f>
        <v>Точка-1 (скважина)</v>
      </c>
      <c r="D88" s="10" t="n">
        <f aca="false">(Данные_ввод!D88-Градуировка_Fe!$B$4)/Градуировка_Fe!$B$3</f>
        <v>0.185477128866595</v>
      </c>
      <c r="E88" s="11" t="str">
        <f aca="false">IF(D88&lt;=Нормативы!$C$2,"норма","превышение")</f>
        <v>норма</v>
      </c>
      <c r="F88" s="12" t="n">
        <f aca="false">Данные_ввод!E88</f>
        <v>7</v>
      </c>
      <c r="G88" s="11" t="str">
        <f aca="false">IF(AND(F88&gt;=Нормативы!$B$3,F88&lt;=Нормативы!$C$3),"норма","превышение")</f>
        <v>норма</v>
      </c>
      <c r="H88" s="13" t="n">
        <f aca="false">Данные_ввод!G88</f>
        <v>653</v>
      </c>
      <c r="I88" s="11" t="str">
        <f aca="false">IF(H88&lt;=Нормативы!$C$4,"норма","превышение")</f>
        <v>норма</v>
      </c>
      <c r="J88" s="11" t="str">
        <f aca="false">IF(AND(E88="норма",G88="норма",I88="норма"),"Проба соответствует","Проба не соответствует")</f>
        <v>Проба соответствует</v>
      </c>
    </row>
    <row r="89" customFormat="false" ht="15" hidden="false" customHeight="false" outlineLevel="0" collapsed="false">
      <c r="A89" s="9" t="str">
        <f aca="false">Данные_ввод!A89</f>
        <v>2026-02-03</v>
      </c>
      <c r="B89" s="9" t="str">
        <f aca="false">Данные_ввод!B89</f>
        <v>S-0088</v>
      </c>
      <c r="C89" s="9" t="str">
        <f aca="false">Данные_ввод!C89</f>
        <v>Точка-1 (скважина)</v>
      </c>
      <c r="D89" s="10" t="n">
        <f aca="false">(Данные_ввод!D89-Градуировка_Fe!$B$4)/Градуировка_Fe!$B$3</f>
        <v>0.165293204347307</v>
      </c>
      <c r="E89" s="11" t="str">
        <f aca="false">IF(D89&lt;=Нормативы!$C$2,"норма","превышение")</f>
        <v>норма</v>
      </c>
      <c r="F89" s="12" t="n">
        <f aca="false">Данные_ввод!E89</f>
        <v>6.17</v>
      </c>
      <c r="G89" s="11" t="str">
        <f aca="false">IF(AND(F89&gt;=Нормативы!$B$3,F89&lt;=Нормативы!$C$3),"норма","превышение")</f>
        <v>норма</v>
      </c>
      <c r="H89" s="13" t="n">
        <f aca="false">Данные_ввод!G89</f>
        <v>600</v>
      </c>
      <c r="I89" s="11" t="str">
        <f aca="false">IF(H89&lt;=Нормативы!$C$4,"норма","превышение")</f>
        <v>норма</v>
      </c>
      <c r="J89" s="11" t="str">
        <f aca="false">IF(AND(E89="норма",G89="норма",I89="норма"),"Проба соответствует","Проба не соответствует")</f>
        <v>Проба соответствует</v>
      </c>
    </row>
    <row r="90" customFormat="false" ht="15" hidden="false" customHeight="false" outlineLevel="0" collapsed="false">
      <c r="A90" s="9" t="str">
        <f aca="false">Данные_ввод!A90</f>
        <v>2026-02-04</v>
      </c>
      <c r="B90" s="9" t="str">
        <f aca="false">Данные_ввод!B90</f>
        <v>S-0089</v>
      </c>
      <c r="C90" s="9" t="str">
        <f aca="false">Данные_ввод!C90</f>
        <v>Точка-2 (резервуар)</v>
      </c>
      <c r="D90" s="10" t="n">
        <f aca="false">(Данные_ввод!D90-Градуировка_Fe!$B$4)/Градуировка_Fe!$B$3</f>
        <v>0.155619252358772</v>
      </c>
      <c r="E90" s="11" t="str">
        <f aca="false">IF(D90&lt;=Нормативы!$C$2,"норма","превышение")</f>
        <v>норма</v>
      </c>
      <c r="F90" s="12" t="n">
        <f aca="false">Данные_ввод!E90</f>
        <v>7.26</v>
      </c>
      <c r="G90" s="11" t="str">
        <f aca="false">IF(AND(F90&gt;=Нормативы!$B$3,F90&lt;=Нормативы!$C$3),"норма","превышение")</f>
        <v>норма</v>
      </c>
      <c r="H90" s="13" t="n">
        <f aca="false">Данные_ввод!G90</f>
        <v>680</v>
      </c>
      <c r="I90" s="11" t="str">
        <f aca="false">IF(H90&lt;=Нормативы!$C$4,"норма","превышение")</f>
        <v>норма</v>
      </c>
      <c r="J90" s="11" t="str">
        <f aca="false">IF(AND(E90="норма",G90="норма",I90="норма"),"Проба соответствует","Проба не соответствует")</f>
        <v>Проба соответствует</v>
      </c>
    </row>
    <row r="91" customFormat="false" ht="15" hidden="false" customHeight="false" outlineLevel="0" collapsed="false">
      <c r="A91" s="9" t="str">
        <f aca="false">Данные_ввод!A91</f>
        <v>2026-02-04</v>
      </c>
      <c r="B91" s="9" t="str">
        <f aca="false">Данные_ввод!B91</f>
        <v>S-0090</v>
      </c>
      <c r="C91" s="9" t="str">
        <f aca="false">Данные_ввод!C91</f>
        <v>Точка-3 (сброс)</v>
      </c>
      <c r="D91" s="10" t="n">
        <f aca="false">(Данные_ввод!D91-Градуировка_Fe!$B$4)/Градуировка_Fe!$B$3</f>
        <v>0.104383136271348</v>
      </c>
      <c r="E91" s="11" t="str">
        <f aca="false">IF(D91&lt;=Нормативы!$C$2,"норма","превышение")</f>
        <v>норма</v>
      </c>
      <c r="F91" s="12" t="n">
        <f aca="false">Данные_ввод!E91</f>
        <v>6.22</v>
      </c>
      <c r="G91" s="11" t="str">
        <f aca="false">IF(AND(F91&gt;=Нормативы!$B$3,F91&lt;=Нормативы!$C$3),"норма","превышение")</f>
        <v>норма</v>
      </c>
      <c r="H91" s="13" t="n">
        <f aca="false">Данные_ввод!G91</f>
        <v>355</v>
      </c>
      <c r="I91" s="11" t="str">
        <f aca="false">IF(H91&lt;=Нормативы!$C$4,"норма","превышение")</f>
        <v>норма</v>
      </c>
      <c r="J91" s="11" t="str">
        <f aca="false">IF(AND(E91="норма",G91="норма",I91="норма"),"Проба соответствует","Проба не соответствует")</f>
        <v>Проба соответствует</v>
      </c>
    </row>
    <row r="92" customFormat="false" ht="15" hidden="false" customHeight="false" outlineLevel="0" collapsed="false">
      <c r="A92" s="9" t="str">
        <f aca="false">Данные_ввод!A92</f>
        <v>2026-02-04</v>
      </c>
      <c r="B92" s="9" t="str">
        <f aca="false">Данные_ввод!B92</f>
        <v>S-0091</v>
      </c>
      <c r="C92" s="9" t="str">
        <f aca="false">Данные_ввод!C92</f>
        <v>Точка-2 (резервуар)</v>
      </c>
      <c r="D92" s="10" t="n">
        <f aca="false">(Данные_ввод!D92-Градуировка_Fe!$B$4)/Градуировка_Fe!$B$3</f>
        <v>0.115370834826227</v>
      </c>
      <c r="E92" s="11" t="str">
        <f aca="false">IF(D92&lt;=Нормативы!$C$2,"норма","превышение")</f>
        <v>норма</v>
      </c>
      <c r="F92" s="12" t="n">
        <f aca="false">Данные_ввод!E92</f>
        <v>6.58</v>
      </c>
      <c r="G92" s="11" t="str">
        <f aca="false">IF(AND(F92&gt;=Нормативы!$B$3,F92&lt;=Нормативы!$C$3),"норма","превышение")</f>
        <v>норма</v>
      </c>
      <c r="H92" s="13" t="n">
        <f aca="false">Данные_ввод!G92</f>
        <v>711</v>
      </c>
      <c r="I92" s="11" t="str">
        <f aca="false">IF(H92&lt;=Нормативы!$C$4,"норма","превышение")</f>
        <v>норма</v>
      </c>
      <c r="J92" s="11" t="str">
        <f aca="false">IF(AND(E92="норма",G92="норма",I92="норма"),"Проба соответствует","Проба не соответствует")</f>
        <v>Проба соответствует</v>
      </c>
    </row>
    <row r="93" customFormat="false" ht="15" hidden="false" customHeight="false" outlineLevel="0" collapsed="false">
      <c r="A93" s="9" t="str">
        <f aca="false">Данные_ввод!A93</f>
        <v>2026-02-04</v>
      </c>
      <c r="B93" s="9" t="str">
        <f aca="false">Данные_ввод!B93</f>
        <v>S-0092</v>
      </c>
      <c r="C93" s="9" t="str">
        <f aca="false">Данные_ввод!C93</f>
        <v>Точка-2 (резервуар)</v>
      </c>
      <c r="D93" s="10" t="n">
        <f aca="false">(Данные_ввод!D93-Градуировка_Fe!$B$4)/Градуировка_Fe!$B$3</f>
        <v>0.0831243281977786</v>
      </c>
      <c r="E93" s="11" t="str">
        <f aca="false">IF(D93&lt;=Нормативы!$C$2,"норма","превышение")</f>
        <v>норма</v>
      </c>
      <c r="F93" s="12" t="n">
        <f aca="false">Данные_ввод!E93</f>
        <v>6.77</v>
      </c>
      <c r="G93" s="11" t="str">
        <f aca="false">IF(AND(F93&gt;=Нормативы!$B$3,F93&lt;=Нормативы!$C$3),"норма","превышение")</f>
        <v>норма</v>
      </c>
      <c r="H93" s="13" t="n">
        <f aca="false">Данные_ввод!G93</f>
        <v>882</v>
      </c>
      <c r="I93" s="11" t="str">
        <f aca="false">IF(H93&lt;=Нормативы!$C$4,"норма","превышение")</f>
        <v>норма</v>
      </c>
      <c r="J93" s="11" t="str">
        <f aca="false">IF(AND(E93="норма",G93="норма",I93="норма"),"Проба соответствует","Проба не соответствует")</f>
        <v>Проба соответствует</v>
      </c>
    </row>
    <row r="94" customFormat="false" ht="15" hidden="false" customHeight="false" outlineLevel="0" collapsed="false">
      <c r="A94" s="9" t="str">
        <f aca="false">Данные_ввод!A94</f>
        <v>2026-02-05</v>
      </c>
      <c r="B94" s="9" t="str">
        <f aca="false">Данные_ввод!B94</f>
        <v>S-0093</v>
      </c>
      <c r="C94" s="9" t="str">
        <f aca="false">Данные_ввод!C94</f>
        <v>Точка-1 (скважина)</v>
      </c>
      <c r="D94" s="10" t="n">
        <f aca="false">(Данные_ввод!D94-Градуировка_Fe!$B$4)/Градуировка_Fe!$B$3</f>
        <v>0.0330825271706676</v>
      </c>
      <c r="E94" s="11" t="str">
        <f aca="false">IF(D94&lt;=Нормативы!$C$2,"норма","превышение")</f>
        <v>норма</v>
      </c>
      <c r="F94" s="12" t="n">
        <f aca="false">Данные_ввод!E94</f>
        <v>7.58</v>
      </c>
      <c r="G94" s="11" t="str">
        <f aca="false">IF(AND(F94&gt;=Нормативы!$B$3,F94&lt;=Нормативы!$C$3),"норма","превышение")</f>
        <v>норма</v>
      </c>
      <c r="H94" s="13" t="n">
        <f aca="false">Данные_ввод!G94</f>
        <v>686</v>
      </c>
      <c r="I94" s="11" t="str">
        <f aca="false">IF(H94&lt;=Нормативы!$C$4,"норма","превышение")</f>
        <v>норма</v>
      </c>
      <c r="J94" s="11" t="str">
        <f aca="false">IF(AND(E94="норма",G94="норма",I94="норма"),"Проба соответствует","Проба не соответствует")</f>
        <v>Проба соответствует</v>
      </c>
    </row>
    <row r="95" customFormat="false" ht="15" hidden="false" customHeight="false" outlineLevel="0" collapsed="false">
      <c r="A95" s="9" t="str">
        <f aca="false">Данные_ввод!A95</f>
        <v>2026-02-05</v>
      </c>
      <c r="B95" s="9" t="str">
        <f aca="false">Данные_ввод!B95</f>
        <v>S-0094</v>
      </c>
      <c r="C95" s="9" t="str">
        <f aca="false">Данные_ввод!C95</f>
        <v>Точка-3 (сброс)</v>
      </c>
      <c r="D95" s="10" t="n">
        <f aca="false">(Данные_ввод!D95-Градуировка_Fe!$B$4)/Градуировка_Fe!$B$3</f>
        <v>0.267646005016123</v>
      </c>
      <c r="E95" s="11" t="str">
        <f aca="false">IF(D95&lt;=Нормативы!$C$2,"норма","превышение")</f>
        <v>норма</v>
      </c>
      <c r="F95" s="12" t="n">
        <f aca="false">Данные_ввод!E95</f>
        <v>6.51</v>
      </c>
      <c r="G95" s="11" t="str">
        <f aca="false">IF(AND(F95&gt;=Нормативы!$B$3,F95&lt;=Нормативы!$C$3),"норма","превышение")</f>
        <v>норма</v>
      </c>
      <c r="H95" s="13" t="n">
        <f aca="false">Данные_ввод!G95</f>
        <v>461</v>
      </c>
      <c r="I95" s="11" t="str">
        <f aca="false">IF(H95&lt;=Нормативы!$C$4,"норма","превышение")</f>
        <v>норма</v>
      </c>
      <c r="J95" s="11" t="str">
        <f aca="false">IF(AND(E95="норма",G95="норма",I95="норма"),"Проба соответствует","Проба не соответствует")</f>
        <v>Проба соответствует</v>
      </c>
    </row>
    <row r="96" customFormat="false" ht="15" hidden="false" customHeight="false" outlineLevel="0" collapsed="false">
      <c r="A96" s="9" t="str">
        <f aca="false">Данные_ввод!A96</f>
        <v>2026-02-05</v>
      </c>
      <c r="B96" s="9" t="str">
        <f aca="false">Данные_ввод!B96</f>
        <v>S-0095</v>
      </c>
      <c r="C96" s="9" t="str">
        <f aca="false">Данные_ввод!C96</f>
        <v>Точка-2 (резервуар)</v>
      </c>
      <c r="D96" s="10" t="n">
        <f aca="false">(Данные_ввод!D96-Градуировка_Fe!$B$4)/Градуировка_Fe!$B$3</f>
        <v>0.150125403081333</v>
      </c>
      <c r="E96" s="11" t="str">
        <f aca="false">IF(D96&lt;=Нормативы!$C$2,"норма","превышение")</f>
        <v>норма</v>
      </c>
      <c r="F96" s="12" t="n">
        <f aca="false">Данные_ввод!E96</f>
        <v>7.02</v>
      </c>
      <c r="G96" s="11" t="str">
        <f aca="false">IF(AND(F96&gt;=Нормативы!$B$3,F96&lt;=Нормативы!$C$3),"норма","превышение")</f>
        <v>норма</v>
      </c>
      <c r="H96" s="13" t="n">
        <f aca="false">Данные_ввод!G96</f>
        <v>635</v>
      </c>
      <c r="I96" s="11" t="str">
        <f aca="false">IF(H96&lt;=Нормативы!$C$4,"норма","превышение")</f>
        <v>норма</v>
      </c>
      <c r="J96" s="11" t="str">
        <f aca="false">IF(AND(E96="норма",G96="норма",I96="норма"),"Проба соответствует","Проба не соответствует")</f>
        <v>Проба соответствует</v>
      </c>
    </row>
    <row r="97" customFormat="false" ht="15" hidden="false" customHeight="false" outlineLevel="0" collapsed="false">
      <c r="A97" s="9" t="str">
        <f aca="false">Данные_ввод!A97</f>
        <v>2026-02-05</v>
      </c>
      <c r="B97" s="9" t="str">
        <f aca="false">Данные_ввод!B97</f>
        <v>S-0096</v>
      </c>
      <c r="C97" s="9" t="str">
        <f aca="false">Данные_ввод!C97</f>
        <v>Точка-2 (резервуар)</v>
      </c>
      <c r="D97" s="10" t="n">
        <f aca="false">(Данные_ввод!D97-Градуировка_Fe!$B$4)/Градуировка_Fe!$B$3</f>
        <v>0.14797563597277</v>
      </c>
      <c r="E97" s="11" t="str">
        <f aca="false">IF(D97&lt;=Нормативы!$C$2,"норма","превышение")</f>
        <v>норма</v>
      </c>
      <c r="F97" s="12" t="n">
        <f aca="false">Данные_ввод!E97</f>
        <v>7.39</v>
      </c>
      <c r="G97" s="11" t="str">
        <f aca="false">IF(AND(F97&gt;=Нормативы!$B$3,F97&lt;=Нормативы!$C$3),"норма","превышение")</f>
        <v>норма</v>
      </c>
      <c r="H97" s="13" t="n">
        <f aca="false">Данные_ввод!G97</f>
        <v>676</v>
      </c>
      <c r="I97" s="11" t="str">
        <f aca="false">IF(H97&lt;=Нормативы!$C$4,"норма","превышение")</f>
        <v>норма</v>
      </c>
      <c r="J97" s="11" t="str">
        <f aca="false">IF(AND(E97="норма",G97="норма",I97="норма"),"Проба соответствует","Проба не соответствует")</f>
        <v>Проба соответствует</v>
      </c>
    </row>
    <row r="98" customFormat="false" ht="15" hidden="false" customHeight="false" outlineLevel="0" collapsed="false">
      <c r="A98" s="9" t="str">
        <f aca="false">Данные_ввод!A98</f>
        <v>2026-02-06</v>
      </c>
      <c r="B98" s="9" t="str">
        <f aca="false">Данные_ввод!B98</f>
        <v>S-0097</v>
      </c>
      <c r="C98" s="9" t="str">
        <f aca="false">Данные_ввод!C98</f>
        <v>Точка-1 (скважина)</v>
      </c>
      <c r="D98" s="10" t="n">
        <f aca="false">(Данные_ввод!D98-Градуировка_Fe!$B$4)/Градуировка_Fe!$B$3</f>
        <v>0.1091603965126</v>
      </c>
      <c r="E98" s="11" t="str">
        <f aca="false">IF(D98&lt;=Нормативы!$C$2,"норма","превышение")</f>
        <v>норма</v>
      </c>
      <c r="F98" s="12" t="n">
        <f aca="false">Данные_ввод!E98</f>
        <v>8.35</v>
      </c>
      <c r="G98" s="11" t="str">
        <f aca="false">IF(AND(F98&gt;=Нормативы!$B$3,F98&lt;=Нормативы!$C$3),"норма","превышение")</f>
        <v>норма</v>
      </c>
      <c r="H98" s="13" t="n">
        <f aca="false">Данные_ввод!G98</f>
        <v>548</v>
      </c>
      <c r="I98" s="11" t="str">
        <f aca="false">IF(H98&lt;=Нормативы!$C$4,"норма","превышение")</f>
        <v>норма</v>
      </c>
      <c r="J98" s="11" t="str">
        <f aca="false">IF(AND(E98="норма",G98="норма",I98="норма"),"Проба соответствует","Проба не соответствует")</f>
        <v>Проба соответствует</v>
      </c>
    </row>
    <row r="99" customFormat="false" ht="15" hidden="false" customHeight="false" outlineLevel="0" collapsed="false">
      <c r="A99" s="9" t="str">
        <f aca="false">Данные_ввод!A99</f>
        <v>2026-02-06</v>
      </c>
      <c r="B99" s="9" t="str">
        <f aca="false">Данные_ввод!B99</f>
        <v>S-0098</v>
      </c>
      <c r="C99" s="9" t="str">
        <f aca="false">Данные_ввод!C99</f>
        <v>Точка-2 (резервуар)</v>
      </c>
      <c r="D99" s="10" t="n">
        <f aca="false">(Данные_ввод!D99-Градуировка_Fe!$B$4)/Градуировка_Fe!$B$3</f>
        <v>0.0750029857876508</v>
      </c>
      <c r="E99" s="11" t="str">
        <f aca="false">IF(D99&lt;=Нормативы!$C$2,"норма","превышение")</f>
        <v>норма</v>
      </c>
      <c r="F99" s="12" t="n">
        <f aca="false">Данные_ввод!E99</f>
        <v>7.36</v>
      </c>
      <c r="G99" s="11" t="str">
        <f aca="false">IF(AND(F99&gt;=Нормативы!$B$3,F99&lt;=Нормативы!$C$3),"норма","превышение")</f>
        <v>норма</v>
      </c>
      <c r="H99" s="13" t="n">
        <f aca="false">Данные_ввод!G99</f>
        <v>543</v>
      </c>
      <c r="I99" s="11" t="str">
        <f aca="false">IF(H99&lt;=Нормативы!$C$4,"норма","превышение")</f>
        <v>норма</v>
      </c>
      <c r="J99" s="11" t="str">
        <f aca="false">IF(AND(E99="норма",G99="норма",I99="норма"),"Проба соответствует","Проба не соответствует")</f>
        <v>Проба соответствует</v>
      </c>
    </row>
    <row r="100" customFormat="false" ht="15" hidden="false" customHeight="false" outlineLevel="0" collapsed="false">
      <c r="A100" s="9" t="str">
        <f aca="false">Данные_ввод!A100</f>
        <v>2026-02-06</v>
      </c>
      <c r="B100" s="9" t="str">
        <f aca="false">Данные_ввод!B100</f>
        <v>S-0099</v>
      </c>
      <c r="C100" s="9" t="str">
        <f aca="false">Данные_ввод!C100</f>
        <v>Точка-1 (скважина)</v>
      </c>
      <c r="D100" s="10" t="n">
        <f aca="false">(Данные_ввод!D100-Градуировка_Fe!$B$4)/Градуировка_Fe!$B$3</f>
        <v>0.239340738086707</v>
      </c>
      <c r="E100" s="11" t="str">
        <f aca="false">IF(D100&lt;=Нормативы!$C$2,"норма","превышение")</f>
        <v>норма</v>
      </c>
      <c r="F100" s="12" t="n">
        <f aca="false">Данные_ввод!E100</f>
        <v>8.07</v>
      </c>
      <c r="G100" s="11" t="str">
        <f aca="false">IF(AND(F100&gt;=Нормативы!$B$3,F100&lt;=Нормативы!$C$3),"норма","превышение")</f>
        <v>норма</v>
      </c>
      <c r="H100" s="13" t="n">
        <f aca="false">Данные_ввод!G100</f>
        <v>754</v>
      </c>
      <c r="I100" s="11" t="str">
        <f aca="false">IF(H100&lt;=Нормативы!$C$4,"норма","превышение")</f>
        <v>норма</v>
      </c>
      <c r="J100" s="11" t="str">
        <f aca="false">IF(AND(E100="норма",G100="норма",I100="норма"),"Проба соответствует","Проба не соответствует")</f>
        <v>Проба соответствует</v>
      </c>
    </row>
    <row r="101" customFormat="false" ht="15" hidden="false" customHeight="false" outlineLevel="0" collapsed="false">
      <c r="A101" s="9" t="str">
        <f aca="false">Данные_ввод!A101</f>
        <v>2026-02-06</v>
      </c>
      <c r="B101" s="9" t="str">
        <f aca="false">Данные_ввод!B101</f>
        <v>S-0100</v>
      </c>
      <c r="C101" s="9" t="str">
        <f aca="false">Данные_ввод!C101</f>
        <v>Точка-3 (сброс)</v>
      </c>
      <c r="D101" s="10" t="n">
        <f aca="false">(Данные_ввод!D101-Градуировка_Fe!$B$4)/Градуировка_Fe!$B$3</f>
        <v>0.31637405947689</v>
      </c>
      <c r="E101" s="11" t="str">
        <f aca="false">IF(D101&lt;=Нормативы!$C$2,"норма","превышение")</f>
        <v>превышение</v>
      </c>
      <c r="F101" s="12" t="n">
        <f aca="false">Данные_ввод!E101</f>
        <v>7.61</v>
      </c>
      <c r="G101" s="11" t="str">
        <f aca="false">IF(AND(F101&gt;=Нормативы!$B$3,F101&lt;=Нормативы!$C$3),"норма","превышение")</f>
        <v>норма</v>
      </c>
      <c r="H101" s="13" t="n">
        <f aca="false">Данные_ввод!G101</f>
        <v>857</v>
      </c>
      <c r="I101" s="11" t="str">
        <f aca="false">IF(H101&lt;=Нормативы!$C$4,"норма","превышение")</f>
        <v>норма</v>
      </c>
      <c r="J101" s="11" t="str">
        <f aca="false">IF(AND(E101="норма",G101="норма",I101="норма"),"Проба соответствует","Проба не соответствует")</f>
        <v>Проба не соответствует</v>
      </c>
    </row>
    <row r="102" customFormat="false" ht="15" hidden="false" customHeight="false" outlineLevel="0" collapsed="false">
      <c r="A102" s="9" t="str">
        <f aca="false">Данные_ввод!A102</f>
        <v>2026-02-09</v>
      </c>
      <c r="B102" s="9" t="str">
        <f aca="false">Данные_ввод!B102</f>
        <v>S-0101</v>
      </c>
      <c r="C102" s="9" t="str">
        <f aca="false">Данные_ввод!C102</f>
        <v>Точка-1 (скважина)</v>
      </c>
      <c r="D102" s="10" t="n">
        <f aca="false">(Данные_ввод!D102-Градуировка_Fe!$B$4)/Градуировка_Fe!$B$3</f>
        <v>0.182491341215813</v>
      </c>
      <c r="E102" s="11" t="str">
        <f aca="false">IF(D102&lt;=Нормативы!$C$2,"норма","превышение")</f>
        <v>норма</v>
      </c>
      <c r="F102" s="12" t="n">
        <f aca="false">Данные_ввод!E102</f>
        <v>6.86</v>
      </c>
      <c r="G102" s="11" t="str">
        <f aca="false">IF(AND(F102&gt;=Нормативы!$B$3,F102&lt;=Нормативы!$C$3),"норма","превышение")</f>
        <v>норма</v>
      </c>
      <c r="H102" s="13" t="n">
        <f aca="false">Данные_ввод!G102</f>
        <v>564</v>
      </c>
      <c r="I102" s="11" t="str">
        <f aca="false">IF(H102&lt;=Нормативы!$C$4,"норма","превышение")</f>
        <v>норма</v>
      </c>
      <c r="J102" s="11" t="str">
        <f aca="false">IF(AND(E102="норма",G102="норма",I102="норма"),"Проба соответствует","Проба не соответствует")</f>
        <v>Проба соответствует</v>
      </c>
    </row>
    <row r="103" customFormat="false" ht="15" hidden="false" customHeight="false" outlineLevel="0" collapsed="false">
      <c r="A103" s="9" t="str">
        <f aca="false">Данные_ввод!A103</f>
        <v>2026-02-09</v>
      </c>
      <c r="B103" s="9" t="str">
        <f aca="false">Данные_ввод!B103</f>
        <v>S-0102</v>
      </c>
      <c r="C103" s="9" t="str">
        <f aca="false">Данные_ввод!C103</f>
        <v>Точка-1 (скважина)</v>
      </c>
      <c r="D103" s="10" t="n">
        <f aca="false">(Данные_ввод!D103-Градуировка_Fe!$B$4)/Градуировка_Fe!$B$3</f>
        <v>0.162904574226681</v>
      </c>
      <c r="E103" s="11" t="str">
        <f aca="false">IF(D103&lt;=Нормативы!$C$2,"норма","превышение")</f>
        <v>норма</v>
      </c>
      <c r="F103" s="12" t="n">
        <f aca="false">Данные_ввод!E103</f>
        <v>7.69</v>
      </c>
      <c r="G103" s="11" t="str">
        <f aca="false">IF(AND(F103&gt;=Нормативы!$B$3,F103&lt;=Нормативы!$C$3),"норма","превышение")</f>
        <v>норма</v>
      </c>
      <c r="H103" s="13" t="n">
        <f aca="false">Данные_ввод!G103</f>
        <v>698</v>
      </c>
      <c r="I103" s="11" t="str">
        <f aca="false">IF(H103&lt;=Нормативы!$C$4,"норма","превышение")</f>
        <v>норма</v>
      </c>
      <c r="J103" s="11" t="str">
        <f aca="false">IF(AND(E103="норма",G103="норма",I103="норма"),"Проба соответствует","Проба не соответствует")</f>
        <v>Проба соответствует</v>
      </c>
    </row>
    <row r="104" customFormat="false" ht="15" hidden="false" customHeight="false" outlineLevel="0" collapsed="false">
      <c r="A104" s="9" t="str">
        <f aca="false">Данные_ввод!A104</f>
        <v>2026-02-09</v>
      </c>
      <c r="B104" s="9" t="str">
        <f aca="false">Данные_ввод!B104</f>
        <v>S-0103</v>
      </c>
      <c r="C104" s="9" t="str">
        <f aca="false">Данные_ввод!C104</f>
        <v>Точка-3 (сброс)</v>
      </c>
      <c r="D104" s="10" t="n">
        <f aca="false">(Данные_ввод!D104-Градуировка_Fe!$B$4)/Градуировка_Fe!$B$3</f>
        <v>0.312432819777857</v>
      </c>
      <c r="E104" s="11" t="str">
        <f aca="false">IF(D104&lt;=Нормативы!$C$2,"норма","превышение")</f>
        <v>превышение</v>
      </c>
      <c r="F104" s="12" t="n">
        <f aca="false">Данные_ввод!E104</f>
        <v>7.56</v>
      </c>
      <c r="G104" s="11" t="str">
        <f aca="false">IF(AND(F104&gt;=Нормативы!$B$3,F104&lt;=Нормативы!$C$3),"норма","превышение")</f>
        <v>норма</v>
      </c>
      <c r="H104" s="13" t="n">
        <f aca="false">Данные_ввод!G104</f>
        <v>821</v>
      </c>
      <c r="I104" s="11" t="str">
        <f aca="false">IF(H104&lt;=Нормативы!$C$4,"норма","превышение")</f>
        <v>норма</v>
      </c>
      <c r="J104" s="11" t="str">
        <f aca="false">IF(AND(E104="норма",G104="норма",I104="норма"),"Проба соответствует","Проба не соответствует")</f>
        <v>Проба не соответствует</v>
      </c>
    </row>
    <row r="105" customFormat="false" ht="15" hidden="false" customHeight="false" outlineLevel="0" collapsed="false">
      <c r="A105" s="9" t="str">
        <f aca="false">Данные_ввод!A105</f>
        <v>2026-02-09</v>
      </c>
      <c r="B105" s="9" t="str">
        <f aca="false">Данные_ввод!B105</f>
        <v>S-0104</v>
      </c>
      <c r="C105" s="9" t="str">
        <f aca="false">Данные_ввод!C105</f>
        <v>Точка-1 (скважина)</v>
      </c>
      <c r="D105" s="10" t="n">
        <f aca="false">(Данные_ввод!D105-Градуировка_Fe!$B$4)/Градуировка_Fe!$B$3</f>
        <v>0.132807834706796</v>
      </c>
      <c r="E105" s="11" t="str">
        <f aca="false">IF(D105&lt;=Нормативы!$C$2,"норма","превышение")</f>
        <v>норма</v>
      </c>
      <c r="F105" s="12" t="n">
        <f aca="false">Данные_ввод!E105</f>
        <v>6.67</v>
      </c>
      <c r="G105" s="11" t="str">
        <f aca="false">IF(AND(F105&gt;=Нормативы!$B$3,F105&lt;=Нормативы!$C$3),"норма","превышение")</f>
        <v>норма</v>
      </c>
      <c r="H105" s="13" t="n">
        <f aca="false">Данные_ввод!G105</f>
        <v>704</v>
      </c>
      <c r="I105" s="11" t="str">
        <f aca="false">IF(H105&lt;=Нормативы!$C$4,"норма","превышение")</f>
        <v>норма</v>
      </c>
      <c r="J105" s="11" t="str">
        <f aca="false">IF(AND(E105="норма",G105="норма",I105="норма"),"Проба соответствует","Проба не соответствует")</f>
        <v>Проба соответствует</v>
      </c>
    </row>
    <row r="106" customFormat="false" ht="15" hidden="false" customHeight="false" outlineLevel="0" collapsed="false">
      <c r="A106" s="9" t="str">
        <f aca="false">Данные_ввод!A106</f>
        <v>2026-02-10</v>
      </c>
      <c r="B106" s="9" t="str">
        <f aca="false">Данные_ввод!B106</f>
        <v>S-0105</v>
      </c>
      <c r="C106" s="9" t="str">
        <f aca="false">Данные_ввод!C106</f>
        <v>Точка-2 (резервуар)</v>
      </c>
      <c r="D106" s="10" t="n">
        <f aca="false">(Данные_ввод!D106-Градуировка_Fe!$B$4)/Градуировка_Fe!$B$3</f>
        <v>0.112982204705601</v>
      </c>
      <c r="E106" s="11" t="str">
        <f aca="false">IF(D106&lt;=Нормативы!$C$2,"норма","превышение")</f>
        <v>норма</v>
      </c>
      <c r="F106" s="12" t="n">
        <f aca="false">Данные_ввод!E106</f>
        <v>5.64</v>
      </c>
      <c r="G106" s="11" t="str">
        <f aca="false">IF(AND(F106&gt;=Нормативы!$B$3,F106&lt;=Нормативы!$C$3),"норма","превышение")</f>
        <v>превышение</v>
      </c>
      <c r="H106" s="13" t="n">
        <f aca="false">Данные_ввод!G106</f>
        <v>441</v>
      </c>
      <c r="I106" s="11" t="str">
        <f aca="false">IF(H106&lt;=Нормативы!$C$4,"норма","превышение")</f>
        <v>норма</v>
      </c>
      <c r="J106" s="11" t="str">
        <f aca="false">IF(AND(E106="норма",G106="норма",I106="норма"),"Проба соответствует","Проба не соответствует")</f>
        <v>Проба не соответствует</v>
      </c>
    </row>
    <row r="107" customFormat="false" ht="15" hidden="false" customHeight="false" outlineLevel="0" collapsed="false">
      <c r="A107" s="9" t="str">
        <f aca="false">Данные_ввод!A107</f>
        <v>2026-02-10</v>
      </c>
      <c r="B107" s="9" t="str">
        <f aca="false">Данные_ввод!B107</f>
        <v>S-0106</v>
      </c>
      <c r="C107" s="9" t="str">
        <f aca="false">Данные_ввод!C107</f>
        <v>Точка-2 (резервуар)</v>
      </c>
      <c r="D107" s="10" t="n">
        <f aca="false">(Данные_ввод!D107-Градуировка_Fe!$B$4)/Градуировка_Fe!$B$3</f>
        <v>0.162307416696525</v>
      </c>
      <c r="E107" s="11" t="str">
        <f aca="false">IF(D107&lt;=Нормативы!$C$2,"норма","превышение")</f>
        <v>норма</v>
      </c>
      <c r="F107" s="12" t="n">
        <f aca="false">Данные_ввод!E107</f>
        <v>7.98</v>
      </c>
      <c r="G107" s="11" t="str">
        <f aca="false">IF(AND(F107&gt;=Нормативы!$B$3,F107&lt;=Нормативы!$C$3),"норма","превышение")</f>
        <v>норма</v>
      </c>
      <c r="H107" s="13" t="n">
        <f aca="false">Данные_ввод!G107</f>
        <v>915</v>
      </c>
      <c r="I107" s="11" t="str">
        <f aca="false">IF(H107&lt;=Нормативы!$C$4,"норма","превышение")</f>
        <v>норма</v>
      </c>
      <c r="J107" s="11" t="str">
        <f aca="false">IF(AND(E107="норма",G107="норма",I107="норма"),"Проба соответствует","Проба не соответствует")</f>
        <v>Проба соответствует</v>
      </c>
    </row>
    <row r="108" customFormat="false" ht="15" hidden="false" customHeight="false" outlineLevel="0" collapsed="false">
      <c r="A108" s="9" t="str">
        <f aca="false">Данные_ввод!A108</f>
        <v>2026-02-10</v>
      </c>
      <c r="B108" s="9" t="str">
        <f aca="false">Данные_ввод!B108</f>
        <v>S-0107</v>
      </c>
      <c r="C108" s="9" t="str">
        <f aca="false">Данные_ввод!C108</f>
        <v>Точка-3 (сброс)</v>
      </c>
      <c r="D108" s="10" t="n">
        <f aca="false">(Данные_ввод!D108-Градуировка_Fe!$B$4)/Градуировка_Fe!$B$3</f>
        <v>0.324137107368924</v>
      </c>
      <c r="E108" s="11" t="str">
        <f aca="false">IF(D108&lt;=Нормативы!$C$2,"норма","превышение")</f>
        <v>превышение</v>
      </c>
      <c r="F108" s="12" t="n">
        <f aca="false">Данные_ввод!E108</f>
        <v>8.11</v>
      </c>
      <c r="G108" s="11" t="str">
        <f aca="false">IF(AND(F108&gt;=Нормативы!$B$3,F108&lt;=Нормативы!$C$3),"норма","превышение")</f>
        <v>норма</v>
      </c>
      <c r="H108" s="13" t="n">
        <f aca="false">Данные_ввод!G108</f>
        <v>620</v>
      </c>
      <c r="I108" s="11" t="str">
        <f aca="false">IF(H108&lt;=Нормативы!$C$4,"норма","превышение")</f>
        <v>норма</v>
      </c>
      <c r="J108" s="11" t="str">
        <f aca="false">IF(AND(E108="норма",G108="норма",I108="норма"),"Проба соответствует","Проба не соответствует")</f>
        <v>Проба не соответствует</v>
      </c>
    </row>
    <row r="109" customFormat="false" ht="15" hidden="false" customHeight="false" outlineLevel="0" collapsed="false">
      <c r="A109" s="9" t="str">
        <f aca="false">Данные_ввод!A109</f>
        <v>2026-02-10</v>
      </c>
      <c r="B109" s="9" t="str">
        <f aca="false">Данные_ввод!B109</f>
        <v>S-0108</v>
      </c>
      <c r="C109" s="9" t="str">
        <f aca="false">Данные_ввод!C109</f>
        <v>Точка-1 (скважина)</v>
      </c>
      <c r="D109" s="10" t="n">
        <f aca="false">(Данные_ввод!D109-Градуировка_Fe!$B$4)/Градуировка_Fe!$B$3</f>
        <v>0.200286635614475</v>
      </c>
      <c r="E109" s="11" t="str">
        <f aca="false">IF(D109&lt;=Нормативы!$C$2,"норма","превышение")</f>
        <v>норма</v>
      </c>
      <c r="F109" s="12" t="n">
        <f aca="false">Данные_ввод!E109</f>
        <v>7.29</v>
      </c>
      <c r="G109" s="11" t="str">
        <f aca="false">IF(AND(F109&gt;=Нормативы!$B$3,F109&lt;=Нормативы!$C$3),"норма","превышение")</f>
        <v>норма</v>
      </c>
      <c r="H109" s="13" t="n">
        <f aca="false">Данные_ввод!G109</f>
        <v>766</v>
      </c>
      <c r="I109" s="11" t="str">
        <f aca="false">IF(H109&lt;=Нормативы!$C$4,"норма","превышение")</f>
        <v>норма</v>
      </c>
      <c r="J109" s="11" t="str">
        <f aca="false">IF(AND(E109="норма",G109="норма",I109="норма"),"Проба соответствует","Проба не соответствует")</f>
        <v>Проба соответствует</v>
      </c>
    </row>
    <row r="110" customFormat="false" ht="15" hidden="false" customHeight="false" outlineLevel="0" collapsed="false">
      <c r="A110" s="9" t="str">
        <f aca="false">Данные_ввод!A110</f>
        <v>2026-02-11</v>
      </c>
      <c r="B110" s="9" t="str">
        <f aca="false">Данные_ввод!B110</f>
        <v>S-0109</v>
      </c>
      <c r="C110" s="9" t="str">
        <f aca="false">Данные_ввод!C110</f>
        <v>Точка-1 (скважина)</v>
      </c>
      <c r="D110" s="10" t="n">
        <f aca="false">(Данные_ввод!D110-Градуировка_Fe!$B$4)/Градуировка_Fe!$B$3</f>
        <v>0.126955690911262</v>
      </c>
      <c r="E110" s="11" t="str">
        <f aca="false">IF(D110&lt;=Нормативы!$C$2,"норма","превышение")</f>
        <v>норма</v>
      </c>
      <c r="F110" s="12" t="n">
        <f aca="false">Данные_ввод!E110</f>
        <v>7.6</v>
      </c>
      <c r="G110" s="11" t="str">
        <f aca="false">IF(AND(F110&gt;=Нормативы!$B$3,F110&lt;=Нормативы!$C$3),"норма","превышение")</f>
        <v>норма</v>
      </c>
      <c r="H110" s="13" t="n">
        <f aca="false">Данные_ввод!G110</f>
        <v>772</v>
      </c>
      <c r="I110" s="11" t="str">
        <f aca="false">IF(H110&lt;=Нормативы!$C$4,"норма","превышение")</f>
        <v>норма</v>
      </c>
      <c r="J110" s="11" t="str">
        <f aca="false">IF(AND(E110="норма",G110="норма",I110="норма"),"Проба соответствует","Проба не соответствует")</f>
        <v>Проба соответствует</v>
      </c>
    </row>
    <row r="111" customFormat="false" ht="15" hidden="false" customHeight="false" outlineLevel="0" collapsed="false">
      <c r="A111" s="9" t="str">
        <f aca="false">Данные_ввод!A111</f>
        <v>2026-02-11</v>
      </c>
      <c r="B111" s="9" t="str">
        <f aca="false">Данные_ввод!B111</f>
        <v>S-0110</v>
      </c>
      <c r="C111" s="9" t="str">
        <f aca="false">Данные_ввод!C111</f>
        <v>Точка-1 (скважина)</v>
      </c>
      <c r="D111" s="10" t="n">
        <f aca="false">(Данные_ввод!D111-Градуировка_Fe!$B$4)/Градуировка_Fe!$B$3</f>
        <v>0.225844977905171</v>
      </c>
      <c r="E111" s="11" t="str">
        <f aca="false">IF(D111&lt;=Нормативы!$C$2,"норма","превышение")</f>
        <v>норма</v>
      </c>
      <c r="F111" s="12" t="n">
        <f aca="false">Данные_ввод!E111</f>
        <v>7.99</v>
      </c>
      <c r="G111" s="11" t="str">
        <f aca="false">IF(AND(F111&gt;=Нормативы!$B$3,F111&lt;=Нормативы!$C$3),"норма","превышение")</f>
        <v>норма</v>
      </c>
      <c r="H111" s="13" t="n">
        <f aca="false">Данные_ввод!G111</f>
        <v>637</v>
      </c>
      <c r="I111" s="11" t="str">
        <f aca="false">IF(H111&lt;=Нормативы!$C$4,"норма","превышение")</f>
        <v>норма</v>
      </c>
      <c r="J111" s="11" t="str">
        <f aca="false">IF(AND(E111="норма",G111="норма",I111="норма"),"Проба соответствует","Проба не соответствует")</f>
        <v>Проба соответствует</v>
      </c>
    </row>
    <row r="112" customFormat="false" ht="15" hidden="false" customHeight="false" outlineLevel="0" collapsed="false">
      <c r="A112" s="9" t="str">
        <f aca="false">Данные_ввод!A112</f>
        <v>2026-02-11</v>
      </c>
      <c r="B112" s="9" t="str">
        <f aca="false">Данные_ввод!B112</f>
        <v>S-0111</v>
      </c>
      <c r="C112" s="9" t="str">
        <f aca="false">Данные_ввод!C112</f>
        <v>Точка-3 (сброс)</v>
      </c>
      <c r="D112" s="10" t="n">
        <f aca="false">(Данные_ввод!D112-Градуировка_Fe!$B$4)/Градуировка_Fe!$B$3</f>
        <v>0.228353039531829</v>
      </c>
      <c r="E112" s="11" t="str">
        <f aca="false">IF(D112&lt;=Нормативы!$C$2,"норма","превышение")</f>
        <v>норма</v>
      </c>
      <c r="F112" s="12" t="n">
        <f aca="false">Данные_ввод!E112</f>
        <v>6.99</v>
      </c>
      <c r="G112" s="11" t="str">
        <f aca="false">IF(AND(F112&gt;=Нормативы!$B$3,F112&lt;=Нормативы!$C$3),"норма","превышение")</f>
        <v>норма</v>
      </c>
      <c r="H112" s="13" t="n">
        <f aca="false">Данные_ввод!G112</f>
        <v>468</v>
      </c>
      <c r="I112" s="11" t="str">
        <f aca="false">IF(H112&lt;=Нормативы!$C$4,"норма","превышение")</f>
        <v>норма</v>
      </c>
      <c r="J112" s="11" t="str">
        <f aca="false">IF(AND(E112="норма",G112="норма",I112="норма"),"Проба соответствует","Проба не соответствует")</f>
        <v>Проба соответствует</v>
      </c>
    </row>
    <row r="113" customFormat="false" ht="15" hidden="false" customHeight="false" outlineLevel="0" collapsed="false">
      <c r="A113" s="9" t="str">
        <f aca="false">Данные_ввод!A113</f>
        <v>2026-02-11</v>
      </c>
      <c r="B113" s="9" t="str">
        <f aca="false">Данные_ввод!B113</f>
        <v>S-0112</v>
      </c>
      <c r="C113" s="9" t="str">
        <f aca="false">Данные_ввод!C113</f>
        <v>Точка-1 (скважина)</v>
      </c>
      <c r="D113" s="10" t="n">
        <f aca="false">(Данные_ввод!D113-Градуировка_Fe!$B$4)/Градуировка_Fe!$B$3</f>
        <v>0.205780484891915</v>
      </c>
      <c r="E113" s="11" t="str">
        <f aca="false">IF(D113&lt;=Нормативы!$C$2,"норма","превышение")</f>
        <v>норма</v>
      </c>
      <c r="F113" s="12" t="n">
        <f aca="false">Данные_ввод!E113</f>
        <v>7.77</v>
      </c>
      <c r="G113" s="11" t="str">
        <f aca="false">IF(AND(F113&gt;=Нормативы!$B$3,F113&lt;=Нормативы!$C$3),"норма","превышение")</f>
        <v>норма</v>
      </c>
      <c r="H113" s="13" t="n">
        <f aca="false">Данные_ввод!G113</f>
        <v>791</v>
      </c>
      <c r="I113" s="11" t="str">
        <f aca="false">IF(H113&lt;=Нормативы!$C$4,"норма","превышение")</f>
        <v>норма</v>
      </c>
      <c r="J113" s="11" t="str">
        <f aca="false">IF(AND(E113="норма",G113="норма",I113="норма"),"Проба соответствует","Проба не соответствует")</f>
        <v>Проба соответствует</v>
      </c>
    </row>
    <row r="114" customFormat="false" ht="15" hidden="false" customHeight="false" outlineLevel="0" collapsed="false">
      <c r="A114" s="9" t="str">
        <f aca="false">Данные_ввод!A114</f>
        <v>2026-02-12</v>
      </c>
      <c r="B114" s="9" t="str">
        <f aca="false">Данные_ввод!B114</f>
        <v>S-0113</v>
      </c>
      <c r="C114" s="9" t="str">
        <f aca="false">Данные_ввод!C114</f>
        <v>Точка-1 (скважина)</v>
      </c>
      <c r="D114" s="10" t="n">
        <f aca="false">(Данные_ввод!D114-Градуировка_Fe!$B$4)/Градуировка_Fe!$B$3</f>
        <v>0.248536964051117</v>
      </c>
      <c r="E114" s="11" t="str">
        <f aca="false">IF(D114&lt;=Нормативы!$C$2,"норма","превышение")</f>
        <v>норма</v>
      </c>
      <c r="F114" s="12" t="n">
        <f aca="false">Данные_ввод!E114</f>
        <v>7.14</v>
      </c>
      <c r="G114" s="11" t="str">
        <f aca="false">IF(AND(F114&gt;=Нормативы!$B$3,F114&lt;=Нормативы!$C$3),"норма","превышение")</f>
        <v>норма</v>
      </c>
      <c r="H114" s="13" t="n">
        <f aca="false">Данные_ввод!G114</f>
        <v>643</v>
      </c>
      <c r="I114" s="11" t="str">
        <f aca="false">IF(H114&lt;=Нормативы!$C$4,"норма","превышение")</f>
        <v>норма</v>
      </c>
      <c r="J114" s="11" t="str">
        <f aca="false">IF(AND(E114="норма",G114="норма",I114="норма"),"Проба соответствует","Проба не соответствует")</f>
        <v>Проба соответствует</v>
      </c>
    </row>
    <row r="115" customFormat="false" ht="15" hidden="false" customHeight="false" outlineLevel="0" collapsed="false">
      <c r="A115" s="9" t="str">
        <f aca="false">Данные_ввод!A115</f>
        <v>2026-02-12</v>
      </c>
      <c r="B115" s="9" t="str">
        <f aca="false">Данные_ввод!B115</f>
        <v>S-0114</v>
      </c>
      <c r="C115" s="9" t="str">
        <f aca="false">Данные_ввод!C115</f>
        <v>Точка-3 (сброс)</v>
      </c>
      <c r="D115" s="10" t="n">
        <f aca="false">(Данные_ввод!D115-Градуировка_Fe!$B$4)/Градуировка_Fe!$B$3</f>
        <v>0.251164457183805</v>
      </c>
      <c r="E115" s="11" t="str">
        <f aca="false">IF(D115&lt;=Нормативы!$C$2,"норма","превышение")</f>
        <v>норма</v>
      </c>
      <c r="F115" s="12" t="n">
        <f aca="false">Данные_ввод!E115</f>
        <v>7.92</v>
      </c>
      <c r="G115" s="11" t="str">
        <f aca="false">IF(AND(F115&gt;=Нормативы!$B$3,F115&lt;=Нормативы!$C$3),"норма","превышение")</f>
        <v>норма</v>
      </c>
      <c r="H115" s="13" t="n">
        <f aca="false">Данные_ввод!G115</f>
        <v>679</v>
      </c>
      <c r="I115" s="11" t="str">
        <f aca="false">IF(H115&lt;=Нормативы!$C$4,"норма","превышение")</f>
        <v>норма</v>
      </c>
      <c r="J115" s="11" t="str">
        <f aca="false">IF(AND(E115="норма",G115="норма",I115="норма"),"Проба соответствует","Проба не соответствует")</f>
        <v>Проба соответствует</v>
      </c>
    </row>
    <row r="116" customFormat="false" ht="15" hidden="false" customHeight="false" outlineLevel="0" collapsed="false">
      <c r="A116" s="9" t="str">
        <f aca="false">Данные_ввод!A116</f>
        <v>2026-02-12</v>
      </c>
      <c r="B116" s="9" t="str">
        <f aca="false">Данные_ввод!B116</f>
        <v>S-0115</v>
      </c>
      <c r="C116" s="9" t="str">
        <f aca="false">Данные_ввод!C116</f>
        <v>Точка-2 (резервуар)</v>
      </c>
      <c r="D116" s="10" t="n">
        <f aca="false">(Данные_ввод!D116-Градуировка_Fe!$B$4)/Градуировка_Fe!$B$3</f>
        <v>0.115729129344321</v>
      </c>
      <c r="E116" s="11" t="str">
        <f aca="false">IF(D116&lt;=Нормативы!$C$2,"норма","превышение")</f>
        <v>норма</v>
      </c>
      <c r="F116" s="12" t="n">
        <f aca="false">Данные_ввод!E116</f>
        <v>6.94</v>
      </c>
      <c r="G116" s="11" t="str">
        <f aca="false">IF(AND(F116&gt;=Нормативы!$B$3,F116&lt;=Нормативы!$C$3),"норма","превышение")</f>
        <v>норма</v>
      </c>
      <c r="H116" s="13" t="n">
        <f aca="false">Данные_ввод!G116</f>
        <v>620</v>
      </c>
      <c r="I116" s="11" t="str">
        <f aca="false">IF(H116&lt;=Нормативы!$C$4,"норма","превышение")</f>
        <v>норма</v>
      </c>
      <c r="J116" s="11" t="str">
        <f aca="false">IF(AND(E116="норма",G116="норма",I116="норма"),"Проба соответствует","Проба не соответствует")</f>
        <v>Проба соответствует</v>
      </c>
    </row>
    <row r="117" customFormat="false" ht="15" hidden="false" customHeight="false" outlineLevel="0" collapsed="false">
      <c r="A117" s="9" t="str">
        <f aca="false">Данные_ввод!A117</f>
        <v>2026-02-12</v>
      </c>
      <c r="B117" s="9" t="str">
        <f aca="false">Данные_ввод!B117</f>
        <v>S-0116</v>
      </c>
      <c r="C117" s="9" t="str">
        <f aca="false">Данные_ввод!C117</f>
        <v>Точка-2 (резервуар)</v>
      </c>
      <c r="D117" s="10" t="n">
        <f aca="false">(Данные_ввод!D117-Градуировка_Fe!$B$4)/Градуировка_Fe!$B$3</f>
        <v>0.295951271945539</v>
      </c>
      <c r="E117" s="11" t="str">
        <f aca="false">IF(D117&lt;=Нормативы!$C$2,"норма","превышение")</f>
        <v>норма</v>
      </c>
      <c r="F117" s="12" t="n">
        <f aca="false">Данные_ввод!E117</f>
        <v>6.62</v>
      </c>
      <c r="G117" s="11" t="str">
        <f aca="false">IF(AND(F117&gt;=Нормативы!$B$3,F117&lt;=Нормативы!$C$3),"норма","превышение")</f>
        <v>норма</v>
      </c>
      <c r="H117" s="13" t="n">
        <f aca="false">Данные_ввод!G117</f>
        <v>706</v>
      </c>
      <c r="I117" s="11" t="str">
        <f aca="false">IF(H117&lt;=Нормативы!$C$4,"норма","превышение")</f>
        <v>норма</v>
      </c>
      <c r="J117" s="11" t="str">
        <f aca="false">IF(AND(E117="норма",G117="норма",I117="норма"),"Проба соответствует","Проба не соответствует")</f>
        <v>Проба соответствует</v>
      </c>
    </row>
    <row r="118" customFormat="false" ht="15" hidden="false" customHeight="false" outlineLevel="0" collapsed="false">
      <c r="A118" s="9" t="str">
        <f aca="false">Данные_ввод!A118</f>
        <v>2026-02-13</v>
      </c>
      <c r="B118" s="9" t="str">
        <f aca="false">Данные_ввод!B118</f>
        <v>S-0117</v>
      </c>
      <c r="C118" s="9" t="str">
        <f aca="false">Данные_ввод!C118</f>
        <v>Точка-1 (скважина)</v>
      </c>
      <c r="D118" s="10" t="n">
        <f aca="false">(Данные_ввод!D118-Градуировка_Fe!$B$4)/Градуировка_Fe!$B$3</f>
        <v>0.309447032127075</v>
      </c>
      <c r="E118" s="11" t="str">
        <f aca="false">IF(D118&lt;=Нормативы!$C$2,"норма","превышение")</f>
        <v>превышение</v>
      </c>
      <c r="F118" s="12" t="n">
        <f aca="false">Данные_ввод!E118</f>
        <v>7.9</v>
      </c>
      <c r="G118" s="11" t="str">
        <f aca="false">IF(AND(F118&gt;=Нормативы!$B$3,F118&lt;=Нормативы!$C$3),"норма","превышение")</f>
        <v>норма</v>
      </c>
      <c r="H118" s="13" t="n">
        <f aca="false">Данные_ввод!G118</f>
        <v>701</v>
      </c>
      <c r="I118" s="11" t="str">
        <f aca="false">IF(H118&lt;=Нормативы!$C$4,"норма","превышение")</f>
        <v>норма</v>
      </c>
      <c r="J118" s="11" t="str">
        <f aca="false">IF(AND(E118="норма",G118="норма",I118="норма"),"Проба соответствует","Проба не соответствует")</f>
        <v>Проба не соответствует</v>
      </c>
    </row>
    <row r="119" customFormat="false" ht="15" hidden="false" customHeight="false" outlineLevel="0" collapsed="false">
      <c r="A119" s="9" t="str">
        <f aca="false">Данные_ввод!A119</f>
        <v>2026-02-13</v>
      </c>
      <c r="B119" s="9" t="str">
        <f aca="false">Данные_ввод!B119</f>
        <v>S-0118</v>
      </c>
      <c r="C119" s="9" t="str">
        <f aca="false">Данные_ввод!C119</f>
        <v>Точка-3 (сброс)</v>
      </c>
      <c r="D119" s="10" t="n">
        <f aca="false">(Данные_ввод!D119-Градуировка_Fe!$B$4)/Градуировка_Fe!$B$3</f>
        <v>0.141765197659142</v>
      </c>
      <c r="E119" s="11" t="str">
        <f aca="false">IF(D119&lt;=Нормативы!$C$2,"норма","превышение")</f>
        <v>норма</v>
      </c>
      <c r="F119" s="12" t="n">
        <f aca="false">Данные_ввод!E119</f>
        <v>6.23</v>
      </c>
      <c r="G119" s="11" t="str">
        <f aca="false">IF(AND(F119&gt;=Нормативы!$B$3,F119&lt;=Нормативы!$C$3),"норма","превышение")</f>
        <v>норма</v>
      </c>
      <c r="H119" s="13" t="n">
        <f aca="false">Данные_ввод!G119</f>
        <v>485</v>
      </c>
      <c r="I119" s="11" t="str">
        <f aca="false">IF(H119&lt;=Нормативы!$C$4,"норма","превышение")</f>
        <v>норма</v>
      </c>
      <c r="J119" s="11" t="str">
        <f aca="false">IF(AND(E119="норма",G119="норма",I119="норма"),"Проба соответствует","Проба не соответствует")</f>
        <v>Проба соответствует</v>
      </c>
    </row>
    <row r="120" customFormat="false" ht="15" hidden="false" customHeight="false" outlineLevel="0" collapsed="false">
      <c r="A120" s="9" t="str">
        <f aca="false">Данные_ввод!A120</f>
        <v>2026-02-13</v>
      </c>
      <c r="B120" s="9" t="str">
        <f aca="false">Данные_ввод!B120</f>
        <v>S-0119</v>
      </c>
      <c r="C120" s="9" t="str">
        <f aca="false">Данные_ввод!C120</f>
        <v>Точка-3 (сброс)</v>
      </c>
      <c r="D120" s="10" t="n">
        <f aca="false">(Данные_ввод!D120-Градуировка_Fe!$B$4)/Градуировка_Fe!$B$3</f>
        <v>0.104980293801505</v>
      </c>
      <c r="E120" s="11" t="str">
        <f aca="false">IF(D120&lt;=Нормативы!$C$2,"норма","превышение")</f>
        <v>норма</v>
      </c>
      <c r="F120" s="12" t="n">
        <f aca="false">Данные_ввод!E120</f>
        <v>7.74</v>
      </c>
      <c r="G120" s="11" t="str">
        <f aca="false">IF(AND(F120&gt;=Нормативы!$B$3,F120&lt;=Нормативы!$C$3),"норма","превышение")</f>
        <v>норма</v>
      </c>
      <c r="H120" s="13" t="n">
        <f aca="false">Данные_ввод!G120</f>
        <v>626</v>
      </c>
      <c r="I120" s="11" t="str">
        <f aca="false">IF(H120&lt;=Нормативы!$C$4,"норма","превышение")</f>
        <v>норма</v>
      </c>
      <c r="J120" s="11" t="str">
        <f aca="false">IF(AND(E120="норма",G120="норма",I120="норма"),"Проба соответствует","Проба не соответствует")</f>
        <v>Проба соответствует</v>
      </c>
    </row>
    <row r="121" customFormat="false" ht="15" hidden="false" customHeight="false" outlineLevel="0" collapsed="false">
      <c r="A121" s="9" t="str">
        <f aca="false">Данные_ввод!A121</f>
        <v>2026-02-13</v>
      </c>
      <c r="B121" s="9" t="str">
        <f aca="false">Данные_ввод!B121</f>
        <v>S-0120</v>
      </c>
      <c r="C121" s="9" t="str">
        <f aca="false">Данные_ввод!C121</f>
        <v>Точка-2 (резервуар)</v>
      </c>
      <c r="D121" s="10" t="n">
        <f aca="false">(Данные_ввод!D121-Градуировка_Fe!$B$4)/Градуировка_Fe!$B$3</f>
        <v>0.281977785739878</v>
      </c>
      <c r="E121" s="11" t="str">
        <f aca="false">IF(D121&lt;=Нормативы!$C$2,"норма","превышение")</f>
        <v>норма</v>
      </c>
      <c r="F121" s="12" t="n">
        <f aca="false">Данные_ввод!E121</f>
        <v>7.55</v>
      </c>
      <c r="G121" s="11" t="str">
        <f aca="false">IF(AND(F121&gt;=Нормативы!$B$3,F121&lt;=Нормативы!$C$3),"норма","превышение")</f>
        <v>норма</v>
      </c>
      <c r="H121" s="13" t="n">
        <f aca="false">Данные_ввод!G121</f>
        <v>542</v>
      </c>
      <c r="I121" s="11" t="str">
        <f aca="false">IF(H121&lt;=Нормативы!$C$4,"норма","превышение")</f>
        <v>норма</v>
      </c>
      <c r="J121" s="11" t="str">
        <f aca="false">IF(AND(E121="норма",G121="норма",I121="норма"),"Проба соответствует","Проба не соответствует")</f>
        <v>Проба соответствует</v>
      </c>
    </row>
    <row r="122" customFormat="false" ht="15" hidden="false" customHeight="false" outlineLevel="0" collapsed="false">
      <c r="A122" s="9" t="str">
        <f aca="false">Данные_ввод!A122</f>
        <v>2026-02-16</v>
      </c>
      <c r="B122" s="9" t="str">
        <f aca="false">Данные_ввод!B122</f>
        <v>S-0121</v>
      </c>
      <c r="C122" s="9" t="str">
        <f aca="false">Данные_ввод!C122</f>
        <v>Точка-1 (скважина)</v>
      </c>
      <c r="D122" s="10" t="n">
        <f aca="false">(Данные_ввод!D122-Градуировка_Fe!$B$4)/Градуировка_Fe!$B$3</f>
        <v>0.0954257733190016</v>
      </c>
      <c r="E122" s="11" t="str">
        <f aca="false">IF(D122&lt;=Нормативы!$C$2,"норма","превышение")</f>
        <v>норма</v>
      </c>
      <c r="F122" s="12" t="n">
        <f aca="false">Данные_ввод!E122</f>
        <v>6.82</v>
      </c>
      <c r="G122" s="11" t="str">
        <f aca="false">IF(AND(F122&gt;=Нормативы!$B$3,F122&lt;=Нормативы!$C$3),"норма","превышение")</f>
        <v>норма</v>
      </c>
      <c r="H122" s="13" t="n">
        <f aca="false">Данные_ввод!G122</f>
        <v>402</v>
      </c>
      <c r="I122" s="11" t="str">
        <f aca="false">IF(H122&lt;=Нормативы!$C$4,"норма","превышение")</f>
        <v>норма</v>
      </c>
      <c r="J122" s="11" t="str">
        <f aca="false">IF(AND(E122="норма",G122="норма",I122="норма"),"Проба соответствует","Проба не соответствует")</f>
        <v>Проба соответствует</v>
      </c>
    </row>
    <row r="123" customFormat="false" ht="15" hidden="false" customHeight="false" outlineLevel="0" collapsed="false">
      <c r="A123" s="9" t="str">
        <f aca="false">Данные_ввод!A123</f>
        <v>2026-02-16</v>
      </c>
      <c r="B123" s="9" t="str">
        <f aca="false">Данные_ввод!B123</f>
        <v>S-0122</v>
      </c>
      <c r="C123" s="9" t="str">
        <f aca="false">Данные_ввод!C123</f>
        <v>Точка-2 (резервуар)</v>
      </c>
      <c r="D123" s="10" t="n">
        <f aca="false">(Данные_ввод!D123-Градуировка_Fe!$B$4)/Градуировка_Fe!$B$3</f>
        <v>0.157052430431148</v>
      </c>
      <c r="E123" s="11" t="str">
        <f aca="false">IF(D123&lt;=Нормативы!$C$2,"норма","превышение")</f>
        <v>норма</v>
      </c>
      <c r="F123" s="12" t="n">
        <f aca="false">Данные_ввод!E123</f>
        <v>6.93</v>
      </c>
      <c r="G123" s="11" t="str">
        <f aca="false">IF(AND(F123&gt;=Нормативы!$B$3,F123&lt;=Нормативы!$C$3),"норма","превышение")</f>
        <v>норма</v>
      </c>
      <c r="H123" s="13" t="n">
        <f aca="false">Данные_ввод!G123</f>
        <v>734</v>
      </c>
      <c r="I123" s="11" t="str">
        <f aca="false">IF(H123&lt;=Нормативы!$C$4,"норма","превышение")</f>
        <v>норма</v>
      </c>
      <c r="J123" s="11" t="str">
        <f aca="false">IF(AND(E123="норма",G123="норма",I123="норма"),"Проба соответствует","Проба не соответствует")</f>
        <v>Проба соответствует</v>
      </c>
    </row>
    <row r="124" customFormat="false" ht="15" hidden="false" customHeight="false" outlineLevel="0" collapsed="false">
      <c r="A124" s="9" t="str">
        <f aca="false">Данные_ввод!A124</f>
        <v>2026-02-16</v>
      </c>
      <c r="B124" s="9" t="str">
        <f aca="false">Данные_ввод!B124</f>
        <v>S-0123</v>
      </c>
      <c r="C124" s="9" t="str">
        <f aca="false">Данные_ввод!C124</f>
        <v>Точка-1 (скважина)</v>
      </c>
      <c r="D124" s="10" t="n">
        <f aca="false">(Данные_ввод!D124-Градуировка_Fe!$B$4)/Градуировка_Fe!$B$3</f>
        <v>0.279828018631315</v>
      </c>
      <c r="E124" s="11" t="str">
        <f aca="false">IF(D124&lt;=Нормативы!$C$2,"норма","превышение")</f>
        <v>норма</v>
      </c>
      <c r="F124" s="12" t="n">
        <f aca="false">Данные_ввод!E124</f>
        <v>7.29</v>
      </c>
      <c r="G124" s="11" t="str">
        <f aca="false">IF(AND(F124&gt;=Нормативы!$B$3,F124&lt;=Нормативы!$C$3),"норма","превышение")</f>
        <v>норма</v>
      </c>
      <c r="H124" s="13" t="n">
        <f aca="false">Данные_ввод!G124</f>
        <v>735</v>
      </c>
      <c r="I124" s="11" t="str">
        <f aca="false">IF(H124&lt;=Нормативы!$C$4,"норма","превышение")</f>
        <v>норма</v>
      </c>
      <c r="J124" s="11" t="str">
        <f aca="false">IF(AND(E124="норма",G124="норма",I124="норма"),"Проба соответствует","Проба не соответствует")</f>
        <v>Проба соответствует</v>
      </c>
    </row>
    <row r="125" customFormat="false" ht="15" hidden="false" customHeight="false" outlineLevel="0" collapsed="false">
      <c r="A125" s="9" t="str">
        <f aca="false">Данные_ввод!A125</f>
        <v>2026-02-16</v>
      </c>
      <c r="B125" s="9" t="str">
        <f aca="false">Данные_ввод!B125</f>
        <v>S-0124</v>
      </c>
      <c r="C125" s="9" t="str">
        <f aca="false">Данные_ввод!C125</f>
        <v>Точка-2 (резервуар)</v>
      </c>
      <c r="D125" s="10" t="n">
        <f aca="false">(Данные_ввод!D125-Градуировка_Fe!$B$4)/Градуировка_Fe!$B$3</f>
        <v>0.232772005254986</v>
      </c>
      <c r="E125" s="11" t="str">
        <f aca="false">IF(D125&lt;=Нормативы!$C$2,"норма","превышение")</f>
        <v>норма</v>
      </c>
      <c r="F125" s="12" t="n">
        <f aca="false">Данные_ввод!E125</f>
        <v>7.91</v>
      </c>
      <c r="G125" s="11" t="str">
        <f aca="false">IF(AND(F125&gt;=Нормативы!$B$3,F125&lt;=Нормативы!$C$3),"норма","превышение")</f>
        <v>норма</v>
      </c>
      <c r="H125" s="13" t="n">
        <f aca="false">Данные_ввод!G125</f>
        <v>511</v>
      </c>
      <c r="I125" s="11" t="str">
        <f aca="false">IF(H125&lt;=Нормативы!$C$4,"норма","превышение")</f>
        <v>норма</v>
      </c>
      <c r="J125" s="11" t="str">
        <f aca="false">IF(AND(E125="норма",G125="норма",I125="норма"),"Проба соответствует","Проба не соответствует")</f>
        <v>Проба соответствует</v>
      </c>
    </row>
    <row r="126" customFormat="false" ht="15" hidden="false" customHeight="false" outlineLevel="0" collapsed="false">
      <c r="A126" s="9" t="str">
        <f aca="false">Данные_ввод!A126</f>
        <v>2026-02-17</v>
      </c>
      <c r="B126" s="9" t="str">
        <f aca="false">Данные_ввод!B126</f>
        <v>S-0125</v>
      </c>
      <c r="C126" s="9" t="str">
        <f aca="false">Данные_ввод!C126</f>
        <v>Точка-2 (резервуар)</v>
      </c>
      <c r="D126" s="10" t="n">
        <f aca="false">(Данные_ввод!D126-Градуировка_Fe!$B$4)/Градуировка_Fe!$B$3</f>
        <v>0.305744655440105</v>
      </c>
      <c r="E126" s="11" t="str">
        <f aca="false">IF(D126&lt;=Нормативы!$C$2,"норма","превышение")</f>
        <v>превышение</v>
      </c>
      <c r="F126" s="12" t="n">
        <f aca="false">Данные_ввод!E126</f>
        <v>6.69</v>
      </c>
      <c r="G126" s="11" t="str">
        <f aca="false">IF(AND(F126&gt;=Нормативы!$B$3,F126&lt;=Нормативы!$C$3),"норма","превышение")</f>
        <v>норма</v>
      </c>
      <c r="H126" s="13" t="n">
        <f aca="false">Данные_ввод!G126</f>
        <v>867</v>
      </c>
      <c r="I126" s="11" t="str">
        <f aca="false">IF(H126&lt;=Нормативы!$C$4,"норма","превышение")</f>
        <v>норма</v>
      </c>
      <c r="J126" s="11" t="str">
        <f aca="false">IF(AND(E126="норма",G126="норма",I126="норма"),"Проба соответствует","Проба не соответствует")</f>
        <v>Проба не соответствует</v>
      </c>
    </row>
    <row r="127" customFormat="false" ht="15" hidden="false" customHeight="false" outlineLevel="0" collapsed="false">
      <c r="A127" s="9" t="str">
        <f aca="false">Данные_ввод!A127</f>
        <v>2026-02-17</v>
      </c>
      <c r="B127" s="9" t="str">
        <f aca="false">Данные_ввод!B127</f>
        <v>S-0126</v>
      </c>
      <c r="C127" s="9" t="str">
        <f aca="false">Данные_ввод!C127</f>
        <v>Точка-2 (резервуар)</v>
      </c>
      <c r="D127" s="10" t="n">
        <f aca="false">(Данные_ввод!D127-Градуировка_Fe!$B$4)/Градуировка_Fe!$B$3</f>
        <v>0.121581273139854</v>
      </c>
      <c r="E127" s="11" t="str">
        <f aca="false">IF(D127&lt;=Нормативы!$C$2,"норма","превышение")</f>
        <v>норма</v>
      </c>
      <c r="F127" s="12" t="n">
        <f aca="false">Данные_ввод!E127</f>
        <v>6.93</v>
      </c>
      <c r="G127" s="11" t="str">
        <f aca="false">IF(AND(F127&gt;=Нормативы!$B$3,F127&lt;=Нормативы!$C$3),"норма","превышение")</f>
        <v>норма</v>
      </c>
      <c r="H127" s="13" t="n">
        <f aca="false">Данные_ввод!G127</f>
        <v>667</v>
      </c>
      <c r="I127" s="11" t="str">
        <f aca="false">IF(H127&lt;=Нормативы!$C$4,"норма","превышение")</f>
        <v>норма</v>
      </c>
      <c r="J127" s="11" t="str">
        <f aca="false">IF(AND(E127="норма",G127="норма",I127="норма"),"Проба соответствует","Проба не соответствует")</f>
        <v>Проба соответствует</v>
      </c>
    </row>
    <row r="128" customFormat="false" ht="15" hidden="false" customHeight="false" outlineLevel="0" collapsed="false">
      <c r="A128" s="9" t="str">
        <f aca="false">Данные_ввод!A128</f>
        <v>2026-02-17</v>
      </c>
      <c r="B128" s="9" t="str">
        <f aca="false">Данные_ввод!B128</f>
        <v>S-0127</v>
      </c>
      <c r="C128" s="9" t="str">
        <f aca="false">Данные_ввод!C128</f>
        <v>Точка-1 (скважина)</v>
      </c>
      <c r="D128" s="10" t="n">
        <f aca="false">(Данные_ввод!D128-Градуировка_Fe!$B$4)/Градуировка_Fe!$B$3</f>
        <v>0.243640272303834</v>
      </c>
      <c r="E128" s="11" t="str">
        <f aca="false">IF(D128&lt;=Нормативы!$C$2,"норма","превышение")</f>
        <v>норма</v>
      </c>
      <c r="F128" s="12" t="n">
        <f aca="false">Данные_ввод!E128</f>
        <v>6.57</v>
      </c>
      <c r="G128" s="11" t="str">
        <f aca="false">IF(AND(F128&gt;=Нормативы!$B$3,F128&lt;=Нормативы!$C$3),"норма","превышение")</f>
        <v>норма</v>
      </c>
      <c r="H128" s="13" t="n">
        <f aca="false">Данные_ввод!G128</f>
        <v>257</v>
      </c>
      <c r="I128" s="11" t="str">
        <f aca="false">IF(H128&lt;=Нормативы!$C$4,"норма","превышение")</f>
        <v>норма</v>
      </c>
      <c r="J128" s="11" t="str">
        <f aca="false">IF(AND(E128="норма",G128="норма",I128="норма"),"Проба соответствует","Проба не соответствует")</f>
        <v>Проба соответствует</v>
      </c>
    </row>
    <row r="129" customFormat="false" ht="15" hidden="false" customHeight="false" outlineLevel="0" collapsed="false">
      <c r="A129" s="9" t="str">
        <f aca="false">Данные_ввод!A129</f>
        <v>2026-02-17</v>
      </c>
      <c r="B129" s="9" t="str">
        <f aca="false">Данные_ввод!B129</f>
        <v>S-0128</v>
      </c>
      <c r="C129" s="9" t="str">
        <f aca="false">Данные_ввод!C129</f>
        <v>Точка-2 (резервуар)</v>
      </c>
      <c r="D129" s="10" t="n">
        <f aca="false">(Данные_ввод!D129-Градуировка_Fe!$B$4)/Градуировка_Fe!$B$3</f>
        <v>0.131255225128389</v>
      </c>
      <c r="E129" s="11" t="str">
        <f aca="false">IF(D129&lt;=Нормативы!$C$2,"норма","превышение")</f>
        <v>норма</v>
      </c>
      <c r="F129" s="12" t="n">
        <f aca="false">Данные_ввод!E129</f>
        <v>6.79</v>
      </c>
      <c r="G129" s="11" t="str">
        <f aca="false">IF(AND(F129&gt;=Нормативы!$B$3,F129&lt;=Нормативы!$C$3),"норма","превышение")</f>
        <v>норма</v>
      </c>
      <c r="H129" s="13" t="n">
        <f aca="false">Данные_ввод!G129</f>
        <v>789</v>
      </c>
      <c r="I129" s="11" t="str">
        <f aca="false">IF(H129&lt;=Нормативы!$C$4,"норма","превышение")</f>
        <v>норма</v>
      </c>
      <c r="J129" s="11" t="str">
        <f aca="false">IF(AND(E129="норма",G129="норма",I129="норма"),"Проба соответствует","Проба не соответствует")</f>
        <v>Проба соответствует</v>
      </c>
    </row>
    <row r="130" customFormat="false" ht="15" hidden="false" customHeight="false" outlineLevel="0" collapsed="false">
      <c r="A130" s="9" t="str">
        <f aca="false">Данные_ввод!A130</f>
        <v>2026-02-18</v>
      </c>
      <c r="B130" s="9" t="str">
        <f aca="false">Данные_ввод!B130</f>
        <v>S-0129</v>
      </c>
      <c r="C130" s="9" t="str">
        <f aca="false">Данные_ввод!C130</f>
        <v>Точка-1 (скважина)</v>
      </c>
      <c r="D130" s="10" t="n">
        <f aca="false">(Данные_ввод!D130-Градуировка_Fe!$B$4)/Градуировка_Fe!$B$3</f>
        <v>0.158366176997492</v>
      </c>
      <c r="E130" s="11" t="str">
        <f aca="false">IF(D130&lt;=Нормативы!$C$2,"норма","превышение")</f>
        <v>норма</v>
      </c>
      <c r="F130" s="12" t="n">
        <f aca="false">Данные_ввод!E130</f>
        <v>7.11</v>
      </c>
      <c r="G130" s="11" t="str">
        <f aca="false">IF(AND(F130&gt;=Нормативы!$B$3,F130&lt;=Нормативы!$C$3),"норма","превышение")</f>
        <v>норма</v>
      </c>
      <c r="H130" s="13" t="n">
        <f aca="false">Данные_ввод!G130</f>
        <v>379</v>
      </c>
      <c r="I130" s="11" t="str">
        <f aca="false">IF(H130&lt;=Нормативы!$C$4,"норма","превышение")</f>
        <v>норма</v>
      </c>
      <c r="J130" s="11" t="str">
        <f aca="false">IF(AND(E130="норма",G130="норма",I130="норма"),"Проба соответствует","Проба не соответствует")</f>
        <v>Проба соответствует</v>
      </c>
    </row>
    <row r="131" customFormat="false" ht="15" hidden="false" customHeight="false" outlineLevel="0" collapsed="false">
      <c r="A131" s="9" t="str">
        <f aca="false">Данные_ввод!A131</f>
        <v>2026-02-18</v>
      </c>
      <c r="B131" s="9" t="str">
        <f aca="false">Данные_ввод!B131</f>
        <v>S-0130</v>
      </c>
      <c r="C131" s="9" t="str">
        <f aca="false">Данные_ввод!C131</f>
        <v>Точка-2 (резервуар)</v>
      </c>
      <c r="D131" s="10" t="n">
        <f aca="false">(Данные_ввод!D131-Градуировка_Fe!$B$4)/Градуировка_Fe!$B$3</f>
        <v>0.18965723157769</v>
      </c>
      <c r="E131" s="11" t="str">
        <f aca="false">IF(D131&lt;=Нормативы!$C$2,"норма","превышение")</f>
        <v>норма</v>
      </c>
      <c r="F131" s="12" t="n">
        <f aca="false">Данные_ввод!E131</f>
        <v>6.86</v>
      </c>
      <c r="G131" s="11" t="str">
        <f aca="false">IF(AND(F131&gt;=Нормативы!$B$3,F131&lt;=Нормативы!$C$3),"норма","превышение")</f>
        <v>норма</v>
      </c>
      <c r="H131" s="13" t="n">
        <f aca="false">Данные_ввод!G131</f>
        <v>986</v>
      </c>
      <c r="I131" s="11" t="str">
        <f aca="false">IF(H131&lt;=Нормативы!$C$4,"норма","превышение")</f>
        <v>норма</v>
      </c>
      <c r="J131" s="11" t="str">
        <f aca="false">IF(AND(E131="норма",G131="норма",I131="норма"),"Проба соответствует","Проба не соответствует")</f>
        <v>Проба соответствует</v>
      </c>
    </row>
    <row r="132" customFormat="false" ht="15" hidden="false" customHeight="false" outlineLevel="0" collapsed="false">
      <c r="A132" s="9" t="str">
        <f aca="false">Данные_ввод!A132</f>
        <v>2026-02-18</v>
      </c>
      <c r="B132" s="9" t="str">
        <f aca="false">Данные_ввод!B132</f>
        <v>S-0131</v>
      </c>
      <c r="C132" s="9" t="str">
        <f aca="false">Данные_ввод!C132</f>
        <v>Точка-1 (скважина)</v>
      </c>
      <c r="D132" s="10" t="n">
        <f aca="false">(Данные_ввод!D132-Градуировка_Fe!$B$4)/Градуировка_Fe!$B$3</f>
        <v>0.187626895975158</v>
      </c>
      <c r="E132" s="11" t="str">
        <f aca="false">IF(D132&lt;=Нормативы!$C$2,"норма","превышение")</f>
        <v>норма</v>
      </c>
      <c r="F132" s="12" t="n">
        <f aca="false">Данные_ввод!E132</f>
        <v>7.23</v>
      </c>
      <c r="G132" s="11" t="str">
        <f aca="false">IF(AND(F132&gt;=Нормативы!$B$3,F132&lt;=Нормативы!$C$3),"норма","превышение")</f>
        <v>норма</v>
      </c>
      <c r="H132" s="13" t="n">
        <f aca="false">Данные_ввод!G132</f>
        <v>506</v>
      </c>
      <c r="I132" s="11" t="str">
        <f aca="false">IF(H132&lt;=Нормативы!$C$4,"норма","превышение")</f>
        <v>норма</v>
      </c>
      <c r="J132" s="11" t="str">
        <f aca="false">IF(AND(E132="норма",G132="норма",I132="норма"),"Проба соответствует","Проба не соответствует")</f>
        <v>Проба соответствует</v>
      </c>
    </row>
    <row r="133" customFormat="false" ht="15" hidden="false" customHeight="false" outlineLevel="0" collapsed="false">
      <c r="A133" s="9" t="str">
        <f aca="false">Данные_ввод!A133</f>
        <v>2026-02-18</v>
      </c>
      <c r="B133" s="9" t="str">
        <f aca="false">Данные_ввод!B133</f>
        <v>S-0132</v>
      </c>
      <c r="C133" s="9" t="str">
        <f aca="false">Данные_ввод!C133</f>
        <v>Точка-2 (резервуар)</v>
      </c>
      <c r="D133" s="10" t="n">
        <f aca="false">(Данные_ввод!D133-Градуировка_Fe!$B$4)/Градуировка_Fe!$B$3</f>
        <v>0.209124567060791</v>
      </c>
      <c r="E133" s="11" t="str">
        <f aca="false">IF(D133&lt;=Нормативы!$C$2,"норма","превышение")</f>
        <v>норма</v>
      </c>
      <c r="F133" s="12" t="n">
        <f aca="false">Данные_ввод!E133</f>
        <v>8.01</v>
      </c>
      <c r="G133" s="11" t="str">
        <f aca="false">IF(AND(F133&gt;=Нормативы!$B$3,F133&lt;=Нормативы!$C$3),"норма","превышение")</f>
        <v>норма</v>
      </c>
      <c r="H133" s="13" t="n">
        <f aca="false">Данные_ввод!G133</f>
        <v>564</v>
      </c>
      <c r="I133" s="11" t="str">
        <f aca="false">IF(H133&lt;=Нормативы!$C$4,"норма","превышение")</f>
        <v>норма</v>
      </c>
      <c r="J133" s="11" t="str">
        <f aca="false">IF(AND(E133="норма",G133="норма",I133="норма"),"Проба соответствует","Проба не соответствует")</f>
        <v>Проба соответствует</v>
      </c>
    </row>
    <row r="134" customFormat="false" ht="15" hidden="false" customHeight="false" outlineLevel="0" collapsed="false">
      <c r="A134" s="9" t="str">
        <f aca="false">Данные_ввод!A134</f>
        <v>2026-02-19</v>
      </c>
      <c r="B134" s="9" t="str">
        <f aca="false">Данные_ввод!B134</f>
        <v>S-0133</v>
      </c>
      <c r="C134" s="9" t="str">
        <f aca="false">Данные_ввод!C134</f>
        <v>Точка-2 (резервуар)</v>
      </c>
      <c r="D134" s="10" t="n">
        <f aca="false">(Данные_ввод!D134-Градуировка_Fe!$B$4)/Градуировка_Fe!$B$3</f>
        <v>0.29690672399379</v>
      </c>
      <c r="E134" s="11" t="str">
        <f aca="false">IF(D134&lt;=Нормативы!$C$2,"норма","превышение")</f>
        <v>норма</v>
      </c>
      <c r="F134" s="12" t="n">
        <f aca="false">Данные_ввод!E134</f>
        <v>7.52</v>
      </c>
      <c r="G134" s="11" t="str">
        <f aca="false">IF(AND(F134&gt;=Нормативы!$B$3,F134&lt;=Нормативы!$C$3),"норма","превышение")</f>
        <v>норма</v>
      </c>
      <c r="H134" s="13" t="n">
        <f aca="false">Данные_ввод!G134</f>
        <v>719</v>
      </c>
      <c r="I134" s="11" t="str">
        <f aca="false">IF(H134&lt;=Нормативы!$C$4,"норма","превышение")</f>
        <v>норма</v>
      </c>
      <c r="J134" s="11" t="str">
        <f aca="false">IF(AND(E134="норма",G134="норма",I134="норма"),"Проба соответствует","Проба не соответствует")</f>
        <v>Проба соответствует</v>
      </c>
    </row>
    <row r="135" customFormat="false" ht="15" hidden="false" customHeight="false" outlineLevel="0" collapsed="false">
      <c r="A135" s="9" t="str">
        <f aca="false">Данные_ввод!A135</f>
        <v>2026-02-19</v>
      </c>
      <c r="B135" s="9" t="str">
        <f aca="false">Данные_ввод!B135</f>
        <v>S-0134</v>
      </c>
      <c r="C135" s="9" t="str">
        <f aca="false">Данные_ввод!C135</f>
        <v>Точка-1 (скважина)</v>
      </c>
      <c r="D135" s="10" t="n">
        <f aca="false">(Данные_ввод!D135-Градуировка_Fe!$B$4)/Градуировка_Fe!$B$3</f>
        <v>0.214140690314105</v>
      </c>
      <c r="E135" s="11" t="str">
        <f aca="false">IF(D135&lt;=Нормативы!$C$2,"норма","превышение")</f>
        <v>норма</v>
      </c>
      <c r="F135" s="12" t="n">
        <f aca="false">Данные_ввод!E135</f>
        <v>7.17</v>
      </c>
      <c r="G135" s="11" t="str">
        <f aca="false">IF(AND(F135&gt;=Нормативы!$B$3,F135&lt;=Нормативы!$C$3),"норма","превышение")</f>
        <v>норма</v>
      </c>
      <c r="H135" s="13" t="n">
        <f aca="false">Данные_ввод!G135</f>
        <v>443</v>
      </c>
      <c r="I135" s="11" t="str">
        <f aca="false">IF(H135&lt;=Нормативы!$C$4,"норма","превышение")</f>
        <v>норма</v>
      </c>
      <c r="J135" s="11" t="str">
        <f aca="false">IF(AND(E135="норма",G135="норма",I135="норма"),"Проба соответствует","Проба не соответствует")</f>
        <v>Проба соответствует</v>
      </c>
    </row>
    <row r="136" customFormat="false" ht="15" hidden="false" customHeight="false" outlineLevel="0" collapsed="false">
      <c r="A136" s="9" t="str">
        <f aca="false">Данные_ввод!A136</f>
        <v>2026-02-19</v>
      </c>
      <c r="B136" s="9" t="str">
        <f aca="false">Данные_ввод!B136</f>
        <v>S-0135</v>
      </c>
      <c r="C136" s="9" t="str">
        <f aca="false">Данные_ввод!C136</f>
        <v>Точка-3 (сброс)</v>
      </c>
      <c r="D136" s="10" t="n">
        <f aca="false">(Данные_ввод!D136-Градуировка_Fe!$B$4)/Градуировка_Fe!$B$3</f>
        <v>0.274453600859907</v>
      </c>
      <c r="E136" s="11" t="str">
        <f aca="false">IF(D136&lt;=Нормативы!$C$2,"норма","превышение")</f>
        <v>норма</v>
      </c>
      <c r="F136" s="12" t="n">
        <f aca="false">Данные_ввод!E136</f>
        <v>6.71</v>
      </c>
      <c r="G136" s="11" t="str">
        <f aca="false">IF(AND(F136&gt;=Нормативы!$B$3,F136&lt;=Нормативы!$C$3),"норма","превышение")</f>
        <v>норма</v>
      </c>
      <c r="H136" s="13" t="n">
        <f aca="false">Данные_ввод!G136</f>
        <v>674</v>
      </c>
      <c r="I136" s="11" t="str">
        <f aca="false">IF(H136&lt;=Нормативы!$C$4,"норма","превышение")</f>
        <v>норма</v>
      </c>
      <c r="J136" s="11" t="str">
        <f aca="false">IF(AND(E136="норма",G136="норма",I136="норма"),"Проба соответствует","Проба не соответствует")</f>
        <v>Проба соответствует</v>
      </c>
    </row>
    <row r="137" customFormat="false" ht="15" hidden="false" customHeight="false" outlineLevel="0" collapsed="false">
      <c r="A137" s="9" t="str">
        <f aca="false">Данные_ввод!A137</f>
        <v>2026-02-19</v>
      </c>
      <c r="B137" s="9" t="str">
        <f aca="false">Данные_ввод!B137</f>
        <v>S-0136</v>
      </c>
      <c r="C137" s="9" t="str">
        <f aca="false">Данные_ввод!C137</f>
        <v>Точка-1 (скважина)</v>
      </c>
      <c r="D137" s="10" t="n">
        <f aca="false">(Данные_ввод!D137-Градуировка_Fe!$B$4)/Градуировка_Fe!$B$3</f>
        <v>0.108682670488475</v>
      </c>
      <c r="E137" s="11" t="str">
        <f aca="false">IF(D137&lt;=Нормативы!$C$2,"норма","превышение")</f>
        <v>норма</v>
      </c>
      <c r="F137" s="12" t="n">
        <f aca="false">Данные_ввод!E137</f>
        <v>7.71</v>
      </c>
      <c r="G137" s="11" t="str">
        <f aca="false">IF(AND(F137&gt;=Нормативы!$B$3,F137&lt;=Нормативы!$C$3),"норма","превышение")</f>
        <v>норма</v>
      </c>
      <c r="H137" s="13" t="n">
        <f aca="false">Данные_ввод!G137</f>
        <v>514</v>
      </c>
      <c r="I137" s="11" t="str">
        <f aca="false">IF(H137&lt;=Нормативы!$C$4,"норма","превышение")</f>
        <v>норма</v>
      </c>
      <c r="J137" s="11" t="str">
        <f aca="false">IF(AND(E137="норма",G137="норма",I137="норма"),"Проба соответствует","Проба не соответствует")</f>
        <v>Проба соответствует</v>
      </c>
    </row>
    <row r="138" customFormat="false" ht="15" hidden="false" customHeight="false" outlineLevel="0" collapsed="false">
      <c r="A138" s="9" t="str">
        <f aca="false">Данные_ввод!A138</f>
        <v>2026-02-20</v>
      </c>
      <c r="B138" s="9" t="str">
        <f aca="false">Данные_ввод!B138</f>
        <v>S-0137</v>
      </c>
      <c r="C138" s="9" t="str">
        <f aca="false">Данные_ввод!C138</f>
        <v>Точка-1 (скважина)</v>
      </c>
      <c r="D138" s="10" t="n">
        <f aca="false">(Данные_ввод!D138-Градуировка_Fe!$B$4)/Градуировка_Fe!$B$3</f>
        <v>0.0943508897647199</v>
      </c>
      <c r="E138" s="11" t="str">
        <f aca="false">IF(D138&lt;=Нормативы!$C$2,"норма","превышение")</f>
        <v>норма</v>
      </c>
      <c r="F138" s="12" t="n">
        <f aca="false">Данные_ввод!E138</f>
        <v>6.68</v>
      </c>
      <c r="G138" s="11" t="str">
        <f aca="false">IF(AND(F138&gt;=Нормативы!$B$3,F138&lt;=Нормативы!$C$3),"норма","превышение")</f>
        <v>норма</v>
      </c>
      <c r="H138" s="13" t="n">
        <f aca="false">Данные_ввод!G138</f>
        <v>748</v>
      </c>
      <c r="I138" s="11" t="str">
        <f aca="false">IF(H138&lt;=Нормативы!$C$4,"норма","превышение")</f>
        <v>норма</v>
      </c>
      <c r="J138" s="11" t="str">
        <f aca="false">IF(AND(E138="норма",G138="норма",I138="норма"),"Проба соответствует","Проба не соответствует")</f>
        <v>Проба соответствует</v>
      </c>
    </row>
    <row r="139" customFormat="false" ht="15" hidden="false" customHeight="false" outlineLevel="0" collapsed="false">
      <c r="A139" s="9" t="str">
        <f aca="false">Данные_ввод!A139</f>
        <v>2026-02-20</v>
      </c>
      <c r="B139" s="9" t="str">
        <f aca="false">Данные_ввод!B139</f>
        <v>S-0138</v>
      </c>
      <c r="C139" s="9" t="str">
        <f aca="false">Данные_ввод!C139</f>
        <v>Точка-1 (скважина)</v>
      </c>
      <c r="D139" s="10" t="n">
        <f aca="false">(Данные_ввод!D139-Градуировка_Fe!$B$4)/Градуировка_Fe!$B$3</f>
        <v>0.136629642899797</v>
      </c>
      <c r="E139" s="11" t="str">
        <f aca="false">IF(D139&lt;=Нормативы!$C$2,"норма","превышение")</f>
        <v>норма</v>
      </c>
      <c r="F139" s="12" t="n">
        <f aca="false">Данные_ввод!E139</f>
        <v>7.45</v>
      </c>
      <c r="G139" s="11" t="str">
        <f aca="false">IF(AND(F139&gt;=Нормативы!$B$3,F139&lt;=Нормативы!$C$3),"норма","превышение")</f>
        <v>норма</v>
      </c>
      <c r="H139" s="13" t="n">
        <f aca="false">Данные_ввод!G139</f>
        <v>813</v>
      </c>
      <c r="I139" s="11" t="str">
        <f aca="false">IF(H139&lt;=Нормативы!$C$4,"норма","превышение")</f>
        <v>норма</v>
      </c>
      <c r="J139" s="11" t="str">
        <f aca="false">IF(AND(E139="норма",G139="норма",I139="норма"),"Проба соответствует","Проба не соответствует")</f>
        <v>Проба соответствует</v>
      </c>
    </row>
    <row r="140" customFormat="false" ht="15" hidden="false" customHeight="false" outlineLevel="0" collapsed="false">
      <c r="A140" s="9" t="str">
        <f aca="false">Данные_ввод!A140</f>
        <v>2026-02-20</v>
      </c>
      <c r="B140" s="9" t="str">
        <f aca="false">Данные_ввод!B140</f>
        <v>S-0139</v>
      </c>
      <c r="C140" s="9" t="str">
        <f aca="false">Данные_ввод!C140</f>
        <v>Точка-1 (скважина)</v>
      </c>
      <c r="D140" s="10" t="n">
        <f aca="false">(Данные_ввод!D140-Градуировка_Fe!$B$4)/Градуировка_Fe!$B$3</f>
        <v>0.171264779648871</v>
      </c>
      <c r="E140" s="11" t="str">
        <f aca="false">IF(D140&lt;=Нормативы!$C$2,"норма","превышение")</f>
        <v>норма</v>
      </c>
      <c r="F140" s="12" t="n">
        <f aca="false">Данные_ввод!E140</f>
        <v>7.26</v>
      </c>
      <c r="G140" s="11" t="str">
        <f aca="false">IF(AND(F140&gt;=Нормативы!$B$3,F140&lt;=Нормативы!$C$3),"норма","превышение")</f>
        <v>норма</v>
      </c>
      <c r="H140" s="13" t="n">
        <f aca="false">Данные_ввод!G140</f>
        <v>620</v>
      </c>
      <c r="I140" s="11" t="str">
        <f aca="false">IF(H140&lt;=Нормативы!$C$4,"норма","превышение")</f>
        <v>норма</v>
      </c>
      <c r="J140" s="11" t="str">
        <f aca="false">IF(AND(E140="норма",G140="норма",I140="норма"),"Проба соответствует","Проба не соответствует")</f>
        <v>Проба соответствует</v>
      </c>
    </row>
    <row r="141" customFormat="false" ht="15" hidden="false" customHeight="false" outlineLevel="0" collapsed="false">
      <c r="A141" s="9" t="str">
        <f aca="false">Данные_ввод!A141</f>
        <v>2026-02-20</v>
      </c>
      <c r="B141" s="9" t="str">
        <f aca="false">Данные_ввод!B141</f>
        <v>S-0140</v>
      </c>
      <c r="C141" s="9" t="str">
        <f aca="false">Данные_ввод!C141</f>
        <v>Точка-2 (резервуар)</v>
      </c>
      <c r="D141" s="10" t="n">
        <f aca="false">(Данные_ввод!D141-Градуировка_Fe!$B$4)/Градуировка_Fe!$B$3</f>
        <v>0.162665711214618</v>
      </c>
      <c r="E141" s="11" t="str">
        <f aca="false">IF(D141&lt;=Нормативы!$C$2,"норма","превышение")</f>
        <v>норма</v>
      </c>
      <c r="F141" s="12" t="n">
        <f aca="false">Данные_ввод!E141</f>
        <v>7.44</v>
      </c>
      <c r="G141" s="11" t="str">
        <f aca="false">IF(AND(F141&gt;=Нормативы!$B$3,F141&lt;=Нормативы!$C$3),"норма","превышение")</f>
        <v>норма</v>
      </c>
      <c r="H141" s="13" t="n">
        <f aca="false">Данные_ввод!G141</f>
        <v>658</v>
      </c>
      <c r="I141" s="11" t="str">
        <f aca="false">IF(H141&lt;=Нормативы!$C$4,"норма","превышение")</f>
        <v>норма</v>
      </c>
      <c r="J141" s="11" t="str">
        <f aca="false">IF(AND(E141="норма",G141="норма",I141="норма"),"Проба соответствует","Проба не соответствует")</f>
        <v>Проба соответствует</v>
      </c>
    </row>
    <row r="142" customFormat="false" ht="15" hidden="false" customHeight="false" outlineLevel="0" collapsed="false">
      <c r="A142" s="9" t="str">
        <f aca="false">Данные_ввод!A142</f>
        <v>2026-02-23</v>
      </c>
      <c r="B142" s="9" t="str">
        <f aca="false">Данные_ввод!B142</f>
        <v>S-0141</v>
      </c>
      <c r="C142" s="9" t="str">
        <f aca="false">Данные_ввод!C142</f>
        <v>Точка-1 (скважина)</v>
      </c>
      <c r="D142" s="10" t="n">
        <f aca="false">(Данные_ввод!D142-Градуировка_Fe!$B$4)/Градуировка_Fe!$B$3</f>
        <v>0.214260121820136</v>
      </c>
      <c r="E142" s="11" t="str">
        <f aca="false">IF(D142&lt;=Нормативы!$C$2,"норма","превышение")</f>
        <v>норма</v>
      </c>
      <c r="F142" s="12" t="n">
        <f aca="false">Данные_ввод!E142</f>
        <v>7.48</v>
      </c>
      <c r="G142" s="11" t="str">
        <f aca="false">IF(AND(F142&gt;=Нормативы!$B$3,F142&lt;=Нормативы!$C$3),"норма","превышение")</f>
        <v>норма</v>
      </c>
      <c r="H142" s="13" t="n">
        <f aca="false">Данные_ввод!G142</f>
        <v>860</v>
      </c>
      <c r="I142" s="11" t="str">
        <f aca="false">IF(H142&lt;=Нормативы!$C$4,"норма","превышение")</f>
        <v>норма</v>
      </c>
      <c r="J142" s="11" t="str">
        <f aca="false">IF(AND(E142="норма",G142="норма",I142="норма"),"Проба соответствует","Проба не соответствует")</f>
        <v>Проба соответствует</v>
      </c>
    </row>
    <row r="143" customFormat="false" ht="15" hidden="false" customHeight="false" outlineLevel="0" collapsed="false">
      <c r="A143" s="9" t="str">
        <f aca="false">Данные_ввод!A143</f>
        <v>2026-02-23</v>
      </c>
      <c r="B143" s="9" t="str">
        <f aca="false">Данные_ввод!B143</f>
        <v>S-0142</v>
      </c>
      <c r="C143" s="9" t="str">
        <f aca="false">Данные_ввод!C143</f>
        <v>Точка-3 (сброс)</v>
      </c>
      <c r="D143" s="10" t="n">
        <f aca="false">(Данные_ввод!D143-Градуировка_Fe!$B$4)/Градуировка_Fe!$B$3</f>
        <v>0.300728532186791</v>
      </c>
      <c r="E143" s="11" t="str">
        <f aca="false">IF(D143&lt;=Нормативы!$C$2,"норма","превышение")</f>
        <v>превышение</v>
      </c>
      <c r="F143" s="12" t="n">
        <f aca="false">Данные_ввод!E143</f>
        <v>7.13</v>
      </c>
      <c r="G143" s="11" t="str">
        <f aca="false">IF(AND(F143&gt;=Нормативы!$B$3,F143&lt;=Нормативы!$C$3),"норма","превышение")</f>
        <v>норма</v>
      </c>
      <c r="H143" s="13" t="n">
        <f aca="false">Данные_ввод!G143</f>
        <v>465</v>
      </c>
      <c r="I143" s="11" t="str">
        <f aca="false">IF(H143&lt;=Нормативы!$C$4,"норма","превышение")</f>
        <v>норма</v>
      </c>
      <c r="J143" s="11" t="str">
        <f aca="false">IF(AND(E143="норма",G143="норма",I143="норма"),"Проба соответствует","Проба не соответствует")</f>
        <v>Проба не соответствует</v>
      </c>
    </row>
    <row r="144" customFormat="false" ht="15" hidden="false" customHeight="false" outlineLevel="0" collapsed="false">
      <c r="A144" s="9" t="str">
        <f aca="false">Данные_ввод!A144</f>
        <v>2026-02-23</v>
      </c>
      <c r="B144" s="9" t="str">
        <f aca="false">Данные_ввод!B144</f>
        <v>S-0143</v>
      </c>
      <c r="C144" s="9" t="str">
        <f aca="false">Данные_ввод!C144</f>
        <v>Точка-1 (скважина)</v>
      </c>
      <c r="D144" s="10" t="n">
        <f aca="false">(Данные_ввод!D144-Градуировка_Fe!$B$4)/Градуировка_Fe!$B$3</f>
        <v>0.0185118834348501</v>
      </c>
      <c r="E144" s="11" t="str">
        <f aca="false">IF(D144&lt;=Нормативы!$C$2,"норма","превышение")</f>
        <v>норма</v>
      </c>
      <c r="F144" s="12" t="n">
        <f aca="false">Данные_ввод!E144</f>
        <v>7.2</v>
      </c>
      <c r="G144" s="11" t="str">
        <f aca="false">IF(AND(F144&gt;=Нормативы!$B$3,F144&lt;=Нормативы!$C$3),"норма","превышение")</f>
        <v>норма</v>
      </c>
      <c r="H144" s="13" t="n">
        <f aca="false">Данные_ввод!G144</f>
        <v>611</v>
      </c>
      <c r="I144" s="11" t="str">
        <f aca="false">IF(H144&lt;=Нормативы!$C$4,"норма","превышение")</f>
        <v>норма</v>
      </c>
      <c r="J144" s="11" t="str">
        <f aca="false">IF(AND(E144="норма",G144="норма",I144="норма"),"Проба соответствует","Проба не соответствует")</f>
        <v>Проба соответствует</v>
      </c>
    </row>
    <row r="145" customFormat="false" ht="15" hidden="false" customHeight="false" outlineLevel="0" collapsed="false">
      <c r="A145" s="9" t="str">
        <f aca="false">Данные_ввод!A145</f>
        <v>2026-02-23</v>
      </c>
      <c r="B145" s="9" t="str">
        <f aca="false">Данные_ввод!B145</f>
        <v>S-0144</v>
      </c>
      <c r="C145" s="9" t="str">
        <f aca="false">Данные_ввод!C145</f>
        <v>Точка-1 (скважина)</v>
      </c>
      <c r="D145" s="10" t="n">
        <f aca="false">(Данные_ввод!D145-Градуировка_Fe!$B$4)/Градуировка_Fe!$B$3</f>
        <v>0.1812970261555</v>
      </c>
      <c r="E145" s="11" t="str">
        <f aca="false">IF(D145&lt;=Нормативы!$C$2,"норма","превышение")</f>
        <v>норма</v>
      </c>
      <c r="F145" s="12" t="n">
        <f aca="false">Данные_ввод!E145</f>
        <v>7.26</v>
      </c>
      <c r="G145" s="11" t="str">
        <f aca="false">IF(AND(F145&gt;=Нормативы!$B$3,F145&lt;=Нормативы!$C$3),"норма","превышение")</f>
        <v>норма</v>
      </c>
      <c r="H145" s="13" t="n">
        <f aca="false">Данные_ввод!G145</f>
        <v>618</v>
      </c>
      <c r="I145" s="11" t="str">
        <f aca="false">IF(H145&lt;=Нормативы!$C$4,"норма","превышение")</f>
        <v>норма</v>
      </c>
      <c r="J145" s="11" t="str">
        <f aca="false">IF(AND(E145="норма",G145="норма",I145="норма"),"Проба соответствует","Проба не соответствует")</f>
        <v>Проба соответствует</v>
      </c>
    </row>
    <row r="146" customFormat="false" ht="15" hidden="false" customHeight="false" outlineLevel="0" collapsed="false">
      <c r="A146" s="9" t="str">
        <f aca="false">Данные_ввод!A146</f>
        <v>2026-02-24</v>
      </c>
      <c r="B146" s="9" t="str">
        <f aca="false">Данные_ввод!B146</f>
        <v>S-0145</v>
      </c>
      <c r="C146" s="9" t="str">
        <f aca="false">Данные_ввод!C146</f>
        <v>Точка-1 (скважина)</v>
      </c>
      <c r="D146" s="10" t="n">
        <f aca="false">(Данные_ввод!D146-Градуировка_Fe!$B$4)/Градуировка_Fe!$B$3</f>
        <v>0.117162307416697</v>
      </c>
      <c r="E146" s="11" t="str">
        <f aca="false">IF(D146&lt;=Нормативы!$C$2,"норма","превышение")</f>
        <v>норма</v>
      </c>
      <c r="F146" s="12" t="n">
        <f aca="false">Данные_ввод!E146</f>
        <v>7.78</v>
      </c>
      <c r="G146" s="11" t="str">
        <f aca="false">IF(AND(F146&gt;=Нормативы!$B$3,F146&lt;=Нормативы!$C$3),"норма","превышение")</f>
        <v>норма</v>
      </c>
      <c r="H146" s="13" t="n">
        <f aca="false">Данные_ввод!G146</f>
        <v>406</v>
      </c>
      <c r="I146" s="11" t="str">
        <f aca="false">IF(H146&lt;=Нормативы!$C$4,"норма","превышение")</f>
        <v>норма</v>
      </c>
      <c r="J146" s="11" t="str">
        <f aca="false">IF(AND(E146="норма",G146="норма",I146="норма"),"Проба соответствует","Проба не соответствует")</f>
        <v>Проба соответствует</v>
      </c>
    </row>
    <row r="147" customFormat="false" ht="15" hidden="false" customHeight="false" outlineLevel="0" collapsed="false">
      <c r="A147" s="9" t="str">
        <f aca="false">Данные_ввод!A147</f>
        <v>2026-02-24</v>
      </c>
      <c r="B147" s="9" t="str">
        <f aca="false">Данные_ввод!B147</f>
        <v>S-0146</v>
      </c>
      <c r="C147" s="9" t="str">
        <f aca="false">Данные_ввод!C147</f>
        <v>Точка-3 (сброс)</v>
      </c>
      <c r="D147" s="10" t="n">
        <f aca="false">(Данные_ввод!D147-Градуировка_Fe!$B$4)/Градуировка_Fe!$B$3</f>
        <v>0.246626059954616</v>
      </c>
      <c r="E147" s="11" t="str">
        <f aca="false">IF(D147&lt;=Нормативы!$C$2,"норма","превышение")</f>
        <v>норма</v>
      </c>
      <c r="F147" s="12" t="n">
        <f aca="false">Данные_ввод!E147</f>
        <v>6.79</v>
      </c>
      <c r="G147" s="11" t="str">
        <f aca="false">IF(AND(F147&gt;=Нормативы!$B$3,F147&lt;=Нормативы!$C$3),"норма","превышение")</f>
        <v>норма</v>
      </c>
      <c r="H147" s="13" t="n">
        <f aca="false">Данные_ввод!G147</f>
        <v>899</v>
      </c>
      <c r="I147" s="11" t="str">
        <f aca="false">IF(H147&lt;=Нормативы!$C$4,"норма","превышение")</f>
        <v>норма</v>
      </c>
      <c r="J147" s="11" t="str">
        <f aca="false">IF(AND(E147="норма",G147="норма",I147="норма"),"Проба соответствует","Проба не соответствует")</f>
        <v>Проба соответствует</v>
      </c>
    </row>
    <row r="148" customFormat="false" ht="15" hidden="false" customHeight="false" outlineLevel="0" collapsed="false">
      <c r="A148" s="9" t="str">
        <f aca="false">Данные_ввод!A148</f>
        <v>2026-02-24</v>
      </c>
      <c r="B148" s="9" t="str">
        <f aca="false">Данные_ввод!B148</f>
        <v>S-0147</v>
      </c>
      <c r="C148" s="9" t="str">
        <f aca="false">Данные_ввод!C148</f>
        <v>Точка-2 (резервуар)</v>
      </c>
      <c r="D148" s="10" t="n">
        <f aca="false">(Данные_ввод!D148-Градуировка_Fe!$B$4)/Градуировка_Fe!$B$3</f>
        <v>0.353158963334528</v>
      </c>
      <c r="E148" s="11" t="str">
        <f aca="false">IF(D148&lt;=Нормативы!$C$2,"норма","превышение")</f>
        <v>превышение</v>
      </c>
      <c r="F148" s="12" t="n">
        <f aca="false">Данные_ввод!E148</f>
        <v>8.2</v>
      </c>
      <c r="G148" s="11" t="str">
        <f aca="false">IF(AND(F148&gt;=Нормативы!$B$3,F148&lt;=Нормативы!$C$3),"норма","превышение")</f>
        <v>норма</v>
      </c>
      <c r="H148" s="13" t="n">
        <f aca="false">Данные_ввод!G148</f>
        <v>624</v>
      </c>
      <c r="I148" s="11" t="str">
        <f aca="false">IF(H148&lt;=Нормативы!$C$4,"норма","превышение")</f>
        <v>норма</v>
      </c>
      <c r="J148" s="11" t="str">
        <f aca="false">IF(AND(E148="норма",G148="норма",I148="норма"),"Проба соответствует","Проба не соответствует")</f>
        <v>Проба не соответствует</v>
      </c>
    </row>
    <row r="149" customFormat="false" ht="15" hidden="false" customHeight="false" outlineLevel="0" collapsed="false">
      <c r="A149" s="9" t="str">
        <f aca="false">Данные_ввод!A149</f>
        <v>2026-02-24</v>
      </c>
      <c r="B149" s="9" t="str">
        <f aca="false">Данные_ввод!B149</f>
        <v>S-0148</v>
      </c>
      <c r="C149" s="9" t="str">
        <f aca="false">Данные_ввод!C149</f>
        <v>Точка-3 (сброс)</v>
      </c>
      <c r="D149" s="10" t="n">
        <f aca="false">(Данные_ввод!D149-Градуировка_Fe!$B$4)/Градуировка_Fe!$B$3</f>
        <v>0.169115012540308</v>
      </c>
      <c r="E149" s="11" t="str">
        <f aca="false">IF(D149&lt;=Нормативы!$C$2,"норма","превышение")</f>
        <v>норма</v>
      </c>
      <c r="F149" s="12" t="n">
        <f aca="false">Данные_ввод!E149</f>
        <v>7.17</v>
      </c>
      <c r="G149" s="11" t="str">
        <f aca="false">IF(AND(F149&gt;=Нормативы!$B$3,F149&lt;=Нормативы!$C$3),"норма","превышение")</f>
        <v>норма</v>
      </c>
      <c r="H149" s="13" t="n">
        <f aca="false">Данные_ввод!G149</f>
        <v>705</v>
      </c>
      <c r="I149" s="11" t="str">
        <f aca="false">IF(H149&lt;=Нормативы!$C$4,"норма","превышение")</f>
        <v>норма</v>
      </c>
      <c r="J149" s="11" t="str">
        <f aca="false">IF(AND(E149="норма",G149="норма",I149="норма"),"Проба соответствует","Проба не соответствует")</f>
        <v>Проба соответствует</v>
      </c>
    </row>
    <row r="150" customFormat="false" ht="15" hidden="false" customHeight="false" outlineLevel="0" collapsed="false">
      <c r="A150" s="9" t="str">
        <f aca="false">Данные_ввод!A150</f>
        <v>2026-02-25</v>
      </c>
      <c r="B150" s="9" t="str">
        <f aca="false">Данные_ввод!B150</f>
        <v>S-0149</v>
      </c>
      <c r="C150" s="9" t="str">
        <f aca="false">Данные_ввод!C150</f>
        <v>Точка-3 (сброс)</v>
      </c>
      <c r="D150" s="10" t="n">
        <f aca="false">(Данные_ввод!D150-Градуировка_Fe!$B$4)/Градуировка_Fe!$B$3</f>
        <v>0.343723874358056</v>
      </c>
      <c r="E150" s="11" t="str">
        <f aca="false">IF(D150&lt;=Нормативы!$C$2,"норма","превышение")</f>
        <v>превышение</v>
      </c>
      <c r="F150" s="12" t="n">
        <f aca="false">Данные_ввод!E150</f>
        <v>7.73</v>
      </c>
      <c r="G150" s="11" t="str">
        <f aca="false">IF(AND(F150&gt;=Нормативы!$B$3,F150&lt;=Нормативы!$C$3),"норма","превышение")</f>
        <v>норма</v>
      </c>
      <c r="H150" s="13" t="n">
        <f aca="false">Данные_ввод!G150</f>
        <v>709</v>
      </c>
      <c r="I150" s="11" t="str">
        <f aca="false">IF(H150&lt;=Нормативы!$C$4,"норма","превышение")</f>
        <v>норма</v>
      </c>
      <c r="J150" s="11" t="str">
        <f aca="false">IF(AND(E150="норма",G150="норма",I150="норма"),"Проба соответствует","Проба не соответствует")</f>
        <v>Проба не соответствует</v>
      </c>
    </row>
    <row r="151" customFormat="false" ht="15" hidden="false" customHeight="false" outlineLevel="0" collapsed="false">
      <c r="A151" s="9" t="str">
        <f aca="false">Данные_ввод!A151</f>
        <v>2026-02-25</v>
      </c>
      <c r="B151" s="9" t="str">
        <f aca="false">Данные_ввод!B151</f>
        <v>S-0150</v>
      </c>
      <c r="C151" s="9" t="str">
        <f aca="false">Данные_ввод!C151</f>
        <v>Точка-2 (резервуар)</v>
      </c>
      <c r="D151" s="10" t="n">
        <f aca="false">(Данные_ввод!D151-Градуировка_Fe!$B$4)/Градуировка_Fe!$B$3</f>
        <v>0.143914964767706</v>
      </c>
      <c r="E151" s="11" t="str">
        <f aca="false">IF(D151&lt;=Нормативы!$C$2,"норма","превышение")</f>
        <v>норма</v>
      </c>
      <c r="F151" s="12" t="n">
        <f aca="false">Данные_ввод!E151</f>
        <v>6.56</v>
      </c>
      <c r="G151" s="11" t="str">
        <f aca="false">IF(AND(F151&gt;=Нормативы!$B$3,F151&lt;=Нормативы!$C$3),"норма","превышение")</f>
        <v>норма</v>
      </c>
      <c r="H151" s="13" t="n">
        <f aca="false">Данные_ввод!G151</f>
        <v>747</v>
      </c>
      <c r="I151" s="11" t="str">
        <f aca="false">IF(H151&lt;=Нормативы!$C$4,"норма","превышение")</f>
        <v>норма</v>
      </c>
      <c r="J151" s="11" t="str">
        <f aca="false">IF(AND(E151="норма",G151="норма",I151="норма"),"Проба соответствует","Проба не соответствует")</f>
        <v>Проба соответствует</v>
      </c>
    </row>
    <row r="152" customFormat="false" ht="15" hidden="false" customHeight="false" outlineLevel="0" collapsed="false">
      <c r="A152" s="9" t="str">
        <f aca="false">Данные_ввод!A152</f>
        <v>2026-02-25</v>
      </c>
      <c r="B152" s="9" t="str">
        <f aca="false">Данные_ввод!B152</f>
        <v>S-0151</v>
      </c>
      <c r="C152" s="9" t="str">
        <f aca="false">Данные_ввод!C152</f>
        <v>Точка-3 (сброс)</v>
      </c>
      <c r="D152" s="10" t="n">
        <f aca="false">(Данные_ввод!D152-Градуировка_Fe!$B$4)/Градуировка_Fe!$B$3</f>
        <v>0.471157291293443</v>
      </c>
      <c r="E152" s="11" t="str">
        <f aca="false">IF(D152&lt;=Нормативы!$C$2,"норма","превышение")</f>
        <v>превышение</v>
      </c>
      <c r="F152" s="12" t="n">
        <f aca="false">Данные_ввод!E152</f>
        <v>7.1</v>
      </c>
      <c r="G152" s="11" t="str">
        <f aca="false">IF(AND(F152&gt;=Нормативы!$B$3,F152&lt;=Нормативы!$C$3),"норма","превышение")</f>
        <v>норма</v>
      </c>
      <c r="H152" s="13" t="n">
        <f aca="false">Данные_ввод!G152</f>
        <v>618</v>
      </c>
      <c r="I152" s="11" t="str">
        <f aca="false">IF(H152&lt;=Нормативы!$C$4,"норма","превышение")</f>
        <v>норма</v>
      </c>
      <c r="J152" s="11" t="str">
        <f aca="false">IF(AND(E152="норма",G152="норма",I152="норма"),"Проба соответствует","Проба не соответствует")</f>
        <v>Проба не соответствует</v>
      </c>
    </row>
    <row r="153" customFormat="false" ht="15" hidden="false" customHeight="false" outlineLevel="0" collapsed="false">
      <c r="A153" s="9" t="str">
        <f aca="false">Данные_ввод!A153</f>
        <v>2026-02-25</v>
      </c>
      <c r="B153" s="9" t="str">
        <f aca="false">Данные_ввод!B153</f>
        <v>S-0152</v>
      </c>
      <c r="C153" s="9" t="str">
        <f aca="false">Данные_ввод!C153</f>
        <v>Точка-1 (скважина)</v>
      </c>
      <c r="D153" s="10" t="n">
        <f aca="false">(Данные_ввод!D153-Градуировка_Fe!$B$4)/Градуировка_Fe!$B$3</f>
        <v>0.118237190970978</v>
      </c>
      <c r="E153" s="11" t="str">
        <f aca="false">IF(D153&lt;=Нормативы!$C$2,"норма","превышение")</f>
        <v>норма</v>
      </c>
      <c r="F153" s="12" t="n">
        <f aca="false">Данные_ввод!E153</f>
        <v>7.02</v>
      </c>
      <c r="G153" s="11" t="str">
        <f aca="false">IF(AND(F153&gt;=Нормативы!$B$3,F153&lt;=Нормативы!$C$3),"норма","превышение")</f>
        <v>норма</v>
      </c>
      <c r="H153" s="13" t="n">
        <f aca="false">Данные_ввод!G153</f>
        <v>872</v>
      </c>
      <c r="I153" s="11" t="str">
        <f aca="false">IF(H153&lt;=Нормативы!$C$4,"норма","превышение")</f>
        <v>норма</v>
      </c>
      <c r="J153" s="11" t="str">
        <f aca="false">IF(AND(E153="норма",G153="норма",I153="норма"),"Проба соответствует","Проба не соответствует")</f>
        <v>Проба соответствует</v>
      </c>
    </row>
    <row r="154" customFormat="false" ht="15" hidden="false" customHeight="false" outlineLevel="0" collapsed="false">
      <c r="A154" s="9" t="str">
        <f aca="false">Данные_ввод!A154</f>
        <v>2026-02-26</v>
      </c>
      <c r="B154" s="9" t="str">
        <f aca="false">Данные_ввод!B154</f>
        <v>S-0153</v>
      </c>
      <c r="C154" s="9" t="str">
        <f aca="false">Данные_ввод!C154</f>
        <v>Точка-1 (скважина)</v>
      </c>
      <c r="D154" s="10" t="n">
        <f aca="false">(Данные_ввод!D154-Градуировка_Fe!$B$4)/Градуировка_Fe!$B$3</f>
        <v>0.248775827063179</v>
      </c>
      <c r="E154" s="11" t="str">
        <f aca="false">IF(D154&lt;=Нормативы!$C$2,"норма","превышение")</f>
        <v>норма</v>
      </c>
      <c r="F154" s="12" t="n">
        <f aca="false">Данные_ввод!E154</f>
        <v>7.89</v>
      </c>
      <c r="G154" s="11" t="str">
        <f aca="false">IF(AND(F154&gt;=Нормативы!$B$3,F154&lt;=Нормативы!$C$3),"норма","превышение")</f>
        <v>норма</v>
      </c>
      <c r="H154" s="13" t="n">
        <f aca="false">Данные_ввод!G154</f>
        <v>703</v>
      </c>
      <c r="I154" s="11" t="str">
        <f aca="false">IF(H154&lt;=Нормативы!$C$4,"норма","превышение")</f>
        <v>норма</v>
      </c>
      <c r="J154" s="11" t="str">
        <f aca="false">IF(AND(E154="норма",G154="норма",I154="норма"),"Проба соответствует","Проба не соответствует")</f>
        <v>Проба соответствует</v>
      </c>
    </row>
    <row r="155" customFormat="false" ht="15" hidden="false" customHeight="false" outlineLevel="0" collapsed="false">
      <c r="A155" s="9" t="str">
        <f aca="false">Данные_ввод!A155</f>
        <v>2026-02-26</v>
      </c>
      <c r="B155" s="9" t="str">
        <f aca="false">Данные_ввод!B155</f>
        <v>S-0154</v>
      </c>
      <c r="C155" s="9" t="str">
        <f aca="false">Данные_ввод!C155</f>
        <v>Точка-2 (резервуар)</v>
      </c>
      <c r="D155" s="10" t="n">
        <f aca="false">(Данные_ввод!D155-Градуировка_Fe!$B$4)/Градуировка_Fe!$B$3</f>
        <v>0.22572554639914</v>
      </c>
      <c r="E155" s="11" t="str">
        <f aca="false">IF(D155&lt;=Нормативы!$C$2,"норма","превышение")</f>
        <v>норма</v>
      </c>
      <c r="F155" s="12" t="n">
        <f aca="false">Данные_ввод!E155</f>
        <v>6.79</v>
      </c>
      <c r="G155" s="11" t="str">
        <f aca="false">IF(AND(F155&gt;=Нормативы!$B$3,F155&lt;=Нормативы!$C$3),"норма","превышение")</f>
        <v>норма</v>
      </c>
      <c r="H155" s="13" t="n">
        <f aca="false">Данные_ввод!G155</f>
        <v>729</v>
      </c>
      <c r="I155" s="11" t="str">
        <f aca="false">IF(H155&lt;=Нормативы!$C$4,"норма","превышение")</f>
        <v>норма</v>
      </c>
      <c r="J155" s="11" t="str">
        <f aca="false">IF(AND(E155="норма",G155="норма",I155="норма"),"Проба соответствует","Проба не соответствует")</f>
        <v>Проба соответствует</v>
      </c>
    </row>
    <row r="156" customFormat="false" ht="15" hidden="false" customHeight="false" outlineLevel="0" collapsed="false">
      <c r="A156" s="9" t="str">
        <f aca="false">Данные_ввод!A156</f>
        <v>2026-02-26</v>
      </c>
      <c r="B156" s="9" t="str">
        <f aca="false">Данные_ввод!B156</f>
        <v>S-0155</v>
      </c>
      <c r="C156" s="9" t="str">
        <f aca="false">Данные_ввод!C156</f>
        <v>Точка-1 (скважина)</v>
      </c>
      <c r="D156" s="10" t="n">
        <f aca="false">(Данные_ввод!D156-Градуировка_Fe!$B$4)/Градуировка_Fe!$B$3</f>
        <v>0.222739758748358</v>
      </c>
      <c r="E156" s="11" t="str">
        <f aca="false">IF(D156&lt;=Нормативы!$C$2,"норма","превышение")</f>
        <v>норма</v>
      </c>
      <c r="F156" s="12" t="n">
        <f aca="false">Данные_ввод!E156</f>
        <v>6.36</v>
      </c>
      <c r="G156" s="11" t="str">
        <f aca="false">IF(AND(F156&gt;=Нормативы!$B$3,F156&lt;=Нормативы!$C$3),"норма","превышение")</f>
        <v>норма</v>
      </c>
      <c r="H156" s="13" t="n">
        <f aca="false">Данные_ввод!G156</f>
        <v>733</v>
      </c>
      <c r="I156" s="11" t="str">
        <f aca="false">IF(H156&lt;=Нормативы!$C$4,"норма","превышение")</f>
        <v>норма</v>
      </c>
      <c r="J156" s="11" t="str">
        <f aca="false">IF(AND(E156="норма",G156="норма",I156="норма"),"Проба соответствует","Проба не соответствует")</f>
        <v>Проба соответствует</v>
      </c>
    </row>
    <row r="157" customFormat="false" ht="15" hidden="false" customHeight="false" outlineLevel="0" collapsed="false">
      <c r="A157" s="9" t="str">
        <f aca="false">Данные_ввод!A157</f>
        <v>2026-02-26</v>
      </c>
      <c r="B157" s="9" t="str">
        <f aca="false">Данные_ввод!B157</f>
        <v>S-0156</v>
      </c>
      <c r="C157" s="9" t="str">
        <f aca="false">Данные_ввод!C157</f>
        <v>Точка-2 (резервуар)</v>
      </c>
      <c r="D157" s="10" t="n">
        <f aca="false">(Данные_ввод!D157-Градуировка_Fe!$B$4)/Градуировка_Fe!$B$3</f>
        <v>0.340976949719336</v>
      </c>
      <c r="E157" s="11" t="str">
        <f aca="false">IF(D157&lt;=Нормативы!$C$2,"норма","превышение")</f>
        <v>превышение</v>
      </c>
      <c r="F157" s="12" t="n">
        <f aca="false">Данные_ввод!E157</f>
        <v>6.9</v>
      </c>
      <c r="G157" s="11" t="str">
        <f aca="false">IF(AND(F157&gt;=Нормативы!$B$3,F157&lt;=Нормативы!$C$3),"норма","превышение")</f>
        <v>норма</v>
      </c>
      <c r="H157" s="13" t="n">
        <f aca="false">Данные_ввод!G157</f>
        <v>628</v>
      </c>
      <c r="I157" s="11" t="str">
        <f aca="false">IF(H157&lt;=Нормативы!$C$4,"норма","превышение")</f>
        <v>норма</v>
      </c>
      <c r="J157" s="11" t="str">
        <f aca="false">IF(AND(E157="норма",G157="норма",I157="норма"),"Проба соответствует","Проба не соответствует")</f>
        <v>Проба не соответствует</v>
      </c>
    </row>
    <row r="158" customFormat="false" ht="15" hidden="false" customHeight="false" outlineLevel="0" collapsed="false">
      <c r="A158" s="9" t="str">
        <f aca="false">Данные_ввод!A158</f>
        <v>2026-02-27</v>
      </c>
      <c r="B158" s="9" t="str">
        <f aca="false">Данные_ввод!B158</f>
        <v>S-0157</v>
      </c>
      <c r="C158" s="9" t="str">
        <f aca="false">Данные_ввод!C158</f>
        <v>Точка-3 (сброс)</v>
      </c>
      <c r="D158" s="10" t="n">
        <f aca="false">(Данные_ввод!D158-Градуировка_Fe!$B$4)/Градуировка_Fe!$B$3</f>
        <v>0.178788964528843</v>
      </c>
      <c r="E158" s="11" t="str">
        <f aca="false">IF(D158&lt;=Нормативы!$C$2,"норма","превышение")</f>
        <v>норма</v>
      </c>
      <c r="F158" s="12" t="n">
        <f aca="false">Данные_ввод!E158</f>
        <v>7.26</v>
      </c>
      <c r="G158" s="11" t="str">
        <f aca="false">IF(AND(F158&gt;=Нормативы!$B$3,F158&lt;=Нормативы!$C$3),"норма","превышение")</f>
        <v>норма</v>
      </c>
      <c r="H158" s="13" t="n">
        <f aca="false">Данные_ввод!G158</f>
        <v>741</v>
      </c>
      <c r="I158" s="11" t="str">
        <f aca="false">IF(H158&lt;=Нормативы!$C$4,"норма","превышение")</f>
        <v>норма</v>
      </c>
      <c r="J158" s="11" t="str">
        <f aca="false">IF(AND(E158="норма",G158="норма",I158="норма"),"Проба соответствует","Проба не соответствует")</f>
        <v>Проба соответствует</v>
      </c>
    </row>
    <row r="159" customFormat="false" ht="15" hidden="false" customHeight="false" outlineLevel="0" collapsed="false">
      <c r="A159" s="9" t="str">
        <f aca="false">Данные_ввод!A159</f>
        <v>2026-02-27</v>
      </c>
      <c r="B159" s="9" t="str">
        <f aca="false">Данные_ввод!B159</f>
        <v>S-0158</v>
      </c>
      <c r="C159" s="9" t="str">
        <f aca="false">Данные_ввод!C159</f>
        <v>Точка-2 (резервуар)</v>
      </c>
      <c r="D159" s="10" t="n">
        <f aca="false">(Данные_ввод!D159-Градуировка_Fe!$B$4)/Градуировка_Fe!$B$3</f>
        <v>0.0617460886181775</v>
      </c>
      <c r="E159" s="11" t="str">
        <f aca="false">IF(D159&lt;=Нормативы!$C$2,"норма","превышение")</f>
        <v>норма</v>
      </c>
      <c r="F159" s="12" t="n">
        <f aca="false">Данные_ввод!E159</f>
        <v>7.64</v>
      </c>
      <c r="G159" s="11" t="str">
        <f aca="false">IF(AND(F159&gt;=Нормативы!$B$3,F159&lt;=Нормативы!$C$3),"норма","превышение")</f>
        <v>норма</v>
      </c>
      <c r="H159" s="13" t="n">
        <f aca="false">Данные_ввод!G159</f>
        <v>641</v>
      </c>
      <c r="I159" s="11" t="str">
        <f aca="false">IF(H159&lt;=Нормативы!$C$4,"норма","превышение")</f>
        <v>норма</v>
      </c>
      <c r="J159" s="11" t="str">
        <f aca="false">IF(AND(E159="норма",G159="норма",I159="норма"),"Проба соответствует","Проба не соответствует")</f>
        <v>Проба соответствует</v>
      </c>
    </row>
    <row r="160" customFormat="false" ht="15" hidden="false" customHeight="false" outlineLevel="0" collapsed="false">
      <c r="A160" s="9" t="str">
        <f aca="false">Данные_ввод!A160</f>
        <v>2026-02-27</v>
      </c>
      <c r="B160" s="9" t="str">
        <f aca="false">Данные_ввод!B160</f>
        <v>S-0159</v>
      </c>
      <c r="C160" s="9" t="str">
        <f aca="false">Данные_ввод!C160</f>
        <v>Точка-2 (резервуар)</v>
      </c>
      <c r="D160" s="10" t="n">
        <f aca="false">(Данные_ввод!D160-Градуировка_Fe!$B$4)/Градуировка_Fe!$B$3</f>
        <v>0.171981368685059</v>
      </c>
      <c r="E160" s="11" t="str">
        <f aca="false">IF(D160&lt;=Нормативы!$C$2,"норма","превышение")</f>
        <v>норма</v>
      </c>
      <c r="F160" s="12" t="n">
        <f aca="false">Данные_ввод!E160</f>
        <v>7.4</v>
      </c>
      <c r="G160" s="11" t="str">
        <f aca="false">IF(AND(F160&gt;=Нормативы!$B$3,F160&lt;=Нормативы!$C$3),"норма","превышение")</f>
        <v>норма</v>
      </c>
      <c r="H160" s="13" t="n">
        <f aca="false">Данные_ввод!G160</f>
        <v>353</v>
      </c>
      <c r="I160" s="11" t="str">
        <f aca="false">IF(H160&lt;=Нормативы!$C$4,"норма","превышение")</f>
        <v>норма</v>
      </c>
      <c r="J160" s="11" t="str">
        <f aca="false">IF(AND(E160="норма",G160="норма",I160="норма"),"Проба соответствует","Проба не соответствует")</f>
        <v>Проба соответствует</v>
      </c>
    </row>
    <row r="161" customFormat="false" ht="15" hidden="false" customHeight="false" outlineLevel="0" collapsed="false">
      <c r="A161" s="9" t="str">
        <f aca="false">Данные_ввод!A161</f>
        <v>2026-02-27</v>
      </c>
      <c r="B161" s="9" t="str">
        <f aca="false">Данные_ввод!B161</f>
        <v>S-0160</v>
      </c>
      <c r="C161" s="9" t="str">
        <f aca="false">Данные_ввод!C161</f>
        <v>Точка-3 (сброс)</v>
      </c>
      <c r="D161" s="10" t="n">
        <f aca="false">(Данные_ввод!D161-Градуировка_Fe!$B$4)/Градуировка_Fe!$B$3</f>
        <v>0.393287949361041</v>
      </c>
      <c r="E161" s="11" t="str">
        <f aca="false">IF(D161&lt;=Нормативы!$C$2,"норма","превышение")</f>
        <v>превышение</v>
      </c>
      <c r="F161" s="12" t="n">
        <f aca="false">Данные_ввод!E161</f>
        <v>6.84</v>
      </c>
      <c r="G161" s="11" t="str">
        <f aca="false">IF(AND(F161&gt;=Нормативы!$B$3,F161&lt;=Нормативы!$C$3),"норма","превышение")</f>
        <v>норма</v>
      </c>
      <c r="H161" s="13" t="n">
        <f aca="false">Данные_ввод!G161</f>
        <v>655</v>
      </c>
      <c r="I161" s="11" t="str">
        <f aca="false">IF(H161&lt;=Нормативы!$C$4,"норма","превышение")</f>
        <v>норма</v>
      </c>
      <c r="J161" s="11" t="str">
        <f aca="false">IF(AND(E161="норма",G161="норма",I161="норма"),"Проба соответствует","Проба не соответствует")</f>
        <v>Проба не соответствует</v>
      </c>
    </row>
    <row r="162" customFormat="false" ht="15" hidden="false" customHeight="false" outlineLevel="0" collapsed="false">
      <c r="A162" s="9" t="str">
        <f aca="false">Данные_ввод!A162</f>
        <v>2026-03-02</v>
      </c>
      <c r="B162" s="9" t="str">
        <f aca="false">Данные_ввод!B162</f>
        <v>S-0161</v>
      </c>
      <c r="C162" s="9" t="str">
        <f aca="false">Данные_ввод!C162</f>
        <v>Точка-2 (резервуар)</v>
      </c>
      <c r="D162" s="10" t="n">
        <f aca="false">(Данные_ввод!D162-Градуировка_Fe!$B$4)/Градуировка_Fe!$B$3</f>
        <v>0.257613758509495</v>
      </c>
      <c r="E162" s="11" t="str">
        <f aca="false">IF(D162&lt;=Нормативы!$C$2,"норма","превышение")</f>
        <v>норма</v>
      </c>
      <c r="F162" s="12" t="n">
        <f aca="false">Данные_ввод!E162</f>
        <v>7.37</v>
      </c>
      <c r="G162" s="11" t="str">
        <f aca="false">IF(AND(F162&gt;=Нормативы!$B$3,F162&lt;=Нормативы!$C$3),"норма","превышение")</f>
        <v>норма</v>
      </c>
      <c r="H162" s="13" t="n">
        <f aca="false">Данные_ввод!G162</f>
        <v>447</v>
      </c>
      <c r="I162" s="11" t="str">
        <f aca="false">IF(H162&lt;=Нормативы!$C$4,"норма","превышение")</f>
        <v>норма</v>
      </c>
      <c r="J162" s="11" t="str">
        <f aca="false">IF(AND(E162="норма",G162="норма",I162="норма"),"Проба соответствует","Проба не соответствует")</f>
        <v>Проба соответствует</v>
      </c>
    </row>
    <row r="163" customFormat="false" ht="15" hidden="false" customHeight="false" outlineLevel="0" collapsed="false">
      <c r="A163" s="9" t="str">
        <f aca="false">Данные_ввод!A163</f>
        <v>2026-03-02</v>
      </c>
      <c r="B163" s="9" t="str">
        <f aca="false">Данные_ввод!B163</f>
        <v>S-0162</v>
      </c>
      <c r="C163" s="9" t="str">
        <f aca="false">Данные_ввод!C163</f>
        <v>Точка-1 (скважина)</v>
      </c>
      <c r="D163" s="10" t="n">
        <f aca="false">(Данные_ввод!D163-Градуировка_Fe!$B$4)/Градуировка_Fe!$B$3</f>
        <v>0.211154902663323</v>
      </c>
      <c r="E163" s="11" t="str">
        <f aca="false">IF(D163&lt;=Нормативы!$C$2,"норма","превышение")</f>
        <v>норма</v>
      </c>
      <c r="F163" s="12" t="n">
        <f aca="false">Данные_ввод!E163</f>
        <v>7.22</v>
      </c>
      <c r="G163" s="11" t="str">
        <f aca="false">IF(AND(F163&gt;=Нормативы!$B$3,F163&lt;=Нормативы!$C$3),"норма","превышение")</f>
        <v>норма</v>
      </c>
      <c r="H163" s="13" t="n">
        <f aca="false">Данные_ввод!G163</f>
        <v>812</v>
      </c>
      <c r="I163" s="11" t="str">
        <f aca="false">IF(H163&lt;=Нормативы!$C$4,"норма","превышение")</f>
        <v>норма</v>
      </c>
      <c r="J163" s="11" t="str">
        <f aca="false">IF(AND(E163="норма",G163="норма",I163="норма"),"Проба соответствует","Проба не соответствует")</f>
        <v>Проба соответствует</v>
      </c>
    </row>
    <row r="164" customFormat="false" ht="15" hidden="false" customHeight="false" outlineLevel="0" collapsed="false">
      <c r="A164" s="9" t="str">
        <f aca="false">Данные_ввод!A164</f>
        <v>2026-03-02</v>
      </c>
      <c r="B164" s="9" t="str">
        <f aca="false">Данные_ввод!B164</f>
        <v>S-0163</v>
      </c>
      <c r="C164" s="9" t="str">
        <f aca="false">Данные_ввод!C164</f>
        <v>Точка-2 (резервуар)</v>
      </c>
      <c r="D164" s="10" t="n">
        <f aca="false">(Данные_ввод!D164-Градуировка_Fe!$B$4)/Градуировка_Fe!$B$3</f>
        <v>0.284963573390661</v>
      </c>
      <c r="E164" s="11" t="str">
        <f aca="false">IF(D164&lt;=Нормативы!$C$2,"норма","превышение")</f>
        <v>норма</v>
      </c>
      <c r="F164" s="12" t="n">
        <f aca="false">Данные_ввод!E164</f>
        <v>6.87</v>
      </c>
      <c r="G164" s="11" t="str">
        <f aca="false">IF(AND(F164&gt;=Нормативы!$B$3,F164&lt;=Нормативы!$C$3),"норма","превышение")</f>
        <v>норма</v>
      </c>
      <c r="H164" s="13" t="n">
        <f aca="false">Данные_ввод!G164</f>
        <v>646</v>
      </c>
      <c r="I164" s="11" t="str">
        <f aca="false">IF(H164&lt;=Нормативы!$C$4,"норма","превышение")</f>
        <v>норма</v>
      </c>
      <c r="J164" s="11" t="str">
        <f aca="false">IF(AND(E164="норма",G164="норма",I164="норма"),"Проба соответствует","Проба не соответствует")</f>
        <v>Проба соответствует</v>
      </c>
    </row>
    <row r="165" customFormat="false" ht="15" hidden="false" customHeight="false" outlineLevel="0" collapsed="false">
      <c r="A165" s="9" t="str">
        <f aca="false">Данные_ввод!A165</f>
        <v>2026-03-02</v>
      </c>
      <c r="B165" s="9" t="str">
        <f aca="false">Данные_ввод!B165</f>
        <v>S-0164</v>
      </c>
      <c r="C165" s="9" t="str">
        <f aca="false">Данные_ввод!C165</f>
        <v>Точка-1 (скважина)</v>
      </c>
      <c r="D165" s="10" t="n">
        <f aca="false">(Данные_ввод!D165-Градуировка_Fe!$B$4)/Градуировка_Fe!$B$3</f>
        <v>0.206138779410008</v>
      </c>
      <c r="E165" s="11" t="str">
        <f aca="false">IF(D165&lt;=Нормативы!$C$2,"норма","превышение")</f>
        <v>норма</v>
      </c>
      <c r="F165" s="12" t="n">
        <f aca="false">Данные_ввод!E165</f>
        <v>6.9</v>
      </c>
      <c r="G165" s="11" t="str">
        <f aca="false">IF(AND(F165&gt;=Нормативы!$B$3,F165&lt;=Нормативы!$C$3),"норма","превышение")</f>
        <v>норма</v>
      </c>
      <c r="H165" s="13" t="n">
        <f aca="false">Данные_ввод!G165</f>
        <v>813</v>
      </c>
      <c r="I165" s="11" t="str">
        <f aca="false">IF(H165&lt;=Нормативы!$C$4,"норма","превышение")</f>
        <v>норма</v>
      </c>
      <c r="J165" s="11" t="str">
        <f aca="false">IF(AND(E165="норма",G165="норма",I165="норма"),"Проба соответствует","Проба не соответствует")</f>
        <v>Проба соответствует</v>
      </c>
    </row>
    <row r="166" customFormat="false" ht="15" hidden="false" customHeight="false" outlineLevel="0" collapsed="false">
      <c r="A166" s="9" t="str">
        <f aca="false">Данные_ввод!A166</f>
        <v>2026-03-03</v>
      </c>
      <c r="B166" s="9" t="str">
        <f aca="false">Данные_ввод!B166</f>
        <v>S-0165</v>
      </c>
      <c r="C166" s="9" t="str">
        <f aca="false">Данные_ввод!C166</f>
        <v>Точка-1 (скважина)</v>
      </c>
      <c r="D166" s="10" t="n">
        <f aca="false">(Данные_ввод!D166-Градуировка_Fe!$B$4)/Градуировка_Fe!$B$3</f>
        <v>0.314702018392452</v>
      </c>
      <c r="E166" s="11" t="str">
        <f aca="false">IF(D166&lt;=Нормативы!$C$2,"норма","превышение")</f>
        <v>превышение</v>
      </c>
      <c r="F166" s="12" t="n">
        <f aca="false">Данные_ввод!E166</f>
        <v>6.69</v>
      </c>
      <c r="G166" s="11" t="str">
        <f aca="false">IF(AND(F166&gt;=Нормативы!$B$3,F166&lt;=Нормативы!$C$3),"норма","превышение")</f>
        <v>норма</v>
      </c>
      <c r="H166" s="13" t="n">
        <f aca="false">Данные_ввод!G166</f>
        <v>736</v>
      </c>
      <c r="I166" s="11" t="str">
        <f aca="false">IF(H166&lt;=Нормативы!$C$4,"норма","превышение")</f>
        <v>норма</v>
      </c>
      <c r="J166" s="11" t="str">
        <f aca="false">IF(AND(E166="норма",G166="норма",I166="норма"),"Проба соответствует","Проба не соответствует")</f>
        <v>Проба не соответствует</v>
      </c>
    </row>
    <row r="167" customFormat="false" ht="15" hidden="false" customHeight="false" outlineLevel="0" collapsed="false">
      <c r="A167" s="9" t="str">
        <f aca="false">Данные_ввод!A167</f>
        <v>2026-03-03</v>
      </c>
      <c r="B167" s="9" t="str">
        <f aca="false">Данные_ввод!B167</f>
        <v>S-0166</v>
      </c>
      <c r="C167" s="9" t="str">
        <f aca="false">Данные_ввод!C167</f>
        <v>Точка-3 (сброс)</v>
      </c>
      <c r="D167" s="10" t="n">
        <f aca="false">(Данные_ввод!D167-Градуировка_Fe!$B$4)/Градуировка_Fe!$B$3</f>
        <v>0.303953182849636</v>
      </c>
      <c r="E167" s="11" t="str">
        <f aca="false">IF(D167&lt;=Нормативы!$C$2,"норма","превышение")</f>
        <v>превышение</v>
      </c>
      <c r="F167" s="12" t="n">
        <f aca="false">Данные_ввод!E167</f>
        <v>7.83</v>
      </c>
      <c r="G167" s="11" t="str">
        <f aca="false">IF(AND(F167&gt;=Нормативы!$B$3,F167&lt;=Нормативы!$C$3),"норма","превышение")</f>
        <v>норма</v>
      </c>
      <c r="H167" s="13" t="n">
        <f aca="false">Данные_ввод!G167</f>
        <v>677</v>
      </c>
      <c r="I167" s="11" t="str">
        <f aca="false">IF(H167&lt;=Нормативы!$C$4,"норма","превышение")</f>
        <v>норма</v>
      </c>
      <c r="J167" s="11" t="str">
        <f aca="false">IF(AND(E167="норма",G167="норма",I167="норма"),"Проба соответствует","Проба не соответствует")</f>
        <v>Проба не соответствует</v>
      </c>
    </row>
    <row r="168" customFormat="false" ht="15" hidden="false" customHeight="false" outlineLevel="0" collapsed="false">
      <c r="A168" s="9" t="str">
        <f aca="false">Данные_ввод!A168</f>
        <v>2026-03-03</v>
      </c>
      <c r="B168" s="9" t="str">
        <f aca="false">Данные_ввод!B168</f>
        <v>S-0167</v>
      </c>
      <c r="C168" s="9" t="str">
        <f aca="false">Данные_ввод!C168</f>
        <v>Точка-1 (скважина)</v>
      </c>
      <c r="D168" s="10" t="n">
        <f aca="false">(Данные_ввод!D168-Градуировка_Fe!$B$4)/Градуировка_Fe!$B$3</f>
        <v>0.243401409291771</v>
      </c>
      <c r="E168" s="11" t="str">
        <f aca="false">IF(D168&lt;=Нормативы!$C$2,"норма","превышение")</f>
        <v>норма</v>
      </c>
      <c r="F168" s="12" t="n">
        <f aca="false">Данные_ввод!E168</f>
        <v>6.95</v>
      </c>
      <c r="G168" s="11" t="str">
        <f aca="false">IF(AND(F168&gt;=Нормативы!$B$3,F168&lt;=Нормативы!$C$3),"норма","превышение")</f>
        <v>норма</v>
      </c>
      <c r="H168" s="13" t="n">
        <f aca="false">Данные_ввод!G168</f>
        <v>722</v>
      </c>
      <c r="I168" s="11" t="str">
        <f aca="false">IF(H168&lt;=Нормативы!$C$4,"норма","превышение")</f>
        <v>норма</v>
      </c>
      <c r="J168" s="11" t="str">
        <f aca="false">IF(AND(E168="норма",G168="норма",I168="норма"),"Проба соответствует","Проба не соответствует")</f>
        <v>Проба соответствует</v>
      </c>
    </row>
    <row r="169" customFormat="false" ht="15" hidden="false" customHeight="false" outlineLevel="0" collapsed="false">
      <c r="A169" s="9" t="str">
        <f aca="false">Данные_ввод!A169</f>
        <v>2026-03-03</v>
      </c>
      <c r="B169" s="9" t="str">
        <f aca="false">Данные_ввод!B169</f>
        <v>S-0168</v>
      </c>
      <c r="C169" s="9" t="str">
        <f aca="false">Данные_ввод!C169</f>
        <v>Точка-3 (сброс)</v>
      </c>
      <c r="D169" s="10" t="n">
        <f aca="false">(Данные_ввод!D169-Градуировка_Fe!$B$4)/Градуировка_Fe!$B$3</f>
        <v>0.224172936820733</v>
      </c>
      <c r="E169" s="11" t="str">
        <f aca="false">IF(D169&lt;=Нормативы!$C$2,"норма","превышение")</f>
        <v>норма</v>
      </c>
      <c r="F169" s="12" t="n">
        <f aca="false">Данные_ввод!E169</f>
        <v>6.53</v>
      </c>
      <c r="G169" s="11" t="str">
        <f aca="false">IF(AND(F169&gt;=Нормативы!$B$3,F169&lt;=Нормативы!$C$3),"норма","превышение")</f>
        <v>норма</v>
      </c>
      <c r="H169" s="13" t="n">
        <f aca="false">Данные_ввод!G169</f>
        <v>697</v>
      </c>
      <c r="I169" s="11" t="str">
        <f aca="false">IF(H169&lt;=Нормативы!$C$4,"норма","превышение")</f>
        <v>норма</v>
      </c>
      <c r="J169" s="11" t="str">
        <f aca="false">IF(AND(E169="норма",G169="норма",I169="норма"),"Проба соответствует","Проба не соответствует")</f>
        <v>Проба соответствует</v>
      </c>
    </row>
    <row r="170" customFormat="false" ht="15" hidden="false" customHeight="false" outlineLevel="0" collapsed="false">
      <c r="A170" s="9" t="str">
        <f aca="false">Данные_ввод!A170</f>
        <v>2026-03-04</v>
      </c>
      <c r="B170" s="9" t="str">
        <f aca="false">Данные_ввод!B170</f>
        <v>S-0169</v>
      </c>
      <c r="C170" s="9" t="str">
        <f aca="false">Данные_ввод!C170</f>
        <v>Точка-2 (резервуар)</v>
      </c>
      <c r="D170" s="10" t="n">
        <f aca="false">(Данные_ввод!D170-Градуировка_Fe!$B$4)/Градуировка_Fe!$B$3</f>
        <v>0.161590827660337</v>
      </c>
      <c r="E170" s="11" t="str">
        <f aca="false">IF(D170&lt;=Нормативы!$C$2,"норма","превышение")</f>
        <v>норма</v>
      </c>
      <c r="F170" s="12" t="n">
        <f aca="false">Данные_ввод!E170</f>
        <v>7.29</v>
      </c>
      <c r="G170" s="11" t="str">
        <f aca="false">IF(AND(F170&gt;=Нормативы!$B$3,F170&lt;=Нормативы!$C$3),"норма","превышение")</f>
        <v>норма</v>
      </c>
      <c r="H170" s="13" t="n">
        <f aca="false">Данные_ввод!G170</f>
        <v>569</v>
      </c>
      <c r="I170" s="11" t="str">
        <f aca="false">IF(H170&lt;=Нормативы!$C$4,"норма","превышение")</f>
        <v>норма</v>
      </c>
      <c r="J170" s="11" t="str">
        <f aca="false">IF(AND(E170="норма",G170="норма",I170="норма"),"Проба соответствует","Проба не соответствует")</f>
        <v>Проба соответствует</v>
      </c>
    </row>
    <row r="171" customFormat="false" ht="15" hidden="false" customHeight="false" outlineLevel="0" collapsed="false">
      <c r="A171" s="9" t="str">
        <f aca="false">Данные_ввод!A171</f>
        <v>2026-03-04</v>
      </c>
      <c r="B171" s="9" t="str">
        <f aca="false">Данные_ввод!B171</f>
        <v>S-0170</v>
      </c>
      <c r="C171" s="9" t="str">
        <f aca="false">Данные_ввод!C171</f>
        <v>Точка-3 (сброс)</v>
      </c>
      <c r="D171" s="10" t="n">
        <f aca="false">(Данные_ввод!D171-Градуировка_Fe!$B$4)/Градуировка_Fe!$B$3</f>
        <v>0.401767586289263</v>
      </c>
      <c r="E171" s="11" t="str">
        <f aca="false">IF(D171&lt;=Нормативы!$C$2,"норма","превышение")</f>
        <v>превышение</v>
      </c>
      <c r="F171" s="12" t="n">
        <f aca="false">Данные_ввод!E171</f>
        <v>6.99</v>
      </c>
      <c r="G171" s="11" t="str">
        <f aca="false">IF(AND(F171&gt;=Нормативы!$B$3,F171&lt;=Нормативы!$C$3),"норма","превышение")</f>
        <v>норма</v>
      </c>
      <c r="H171" s="13" t="n">
        <f aca="false">Данные_ввод!G171</f>
        <v>1026</v>
      </c>
      <c r="I171" s="11" t="str">
        <f aca="false">IF(H171&lt;=Нормативы!$C$4,"норма","превышение")</f>
        <v>превышение</v>
      </c>
      <c r="J171" s="11" t="str">
        <f aca="false">IF(AND(E171="норма",G171="норма",I171="норма"),"Проба соответствует","Проба не соответствует")</f>
        <v>Проба не соответствует</v>
      </c>
    </row>
    <row r="172" customFormat="false" ht="15" hidden="false" customHeight="false" outlineLevel="0" collapsed="false">
      <c r="A172" s="9" t="str">
        <f aca="false">Данные_ввод!A172</f>
        <v>2026-03-04</v>
      </c>
      <c r="B172" s="9" t="str">
        <f aca="false">Данные_ввод!B172</f>
        <v>S-0171</v>
      </c>
      <c r="C172" s="9" t="str">
        <f aca="false">Данные_ввод!C172</f>
        <v>Точка-1 (скважина)</v>
      </c>
      <c r="D172" s="10" t="n">
        <f aca="false">(Данные_ввод!D172-Градуировка_Fe!$B$4)/Градуировка_Fe!$B$3</f>
        <v>0.166368087901588</v>
      </c>
      <c r="E172" s="11" t="str">
        <f aca="false">IF(D172&lt;=Нормативы!$C$2,"норма","превышение")</f>
        <v>норма</v>
      </c>
      <c r="F172" s="12" t="n">
        <f aca="false">Данные_ввод!E172</f>
        <v>6.32</v>
      </c>
      <c r="G172" s="11" t="str">
        <f aca="false">IF(AND(F172&gt;=Нормативы!$B$3,F172&lt;=Нормативы!$C$3),"норма","превышение")</f>
        <v>норма</v>
      </c>
      <c r="H172" s="13" t="n">
        <f aca="false">Данные_ввод!G172</f>
        <v>540</v>
      </c>
      <c r="I172" s="11" t="str">
        <f aca="false">IF(H172&lt;=Нормативы!$C$4,"норма","превышение")</f>
        <v>норма</v>
      </c>
      <c r="J172" s="11" t="str">
        <f aca="false">IF(AND(E172="норма",G172="норма",I172="норма"),"Проба соответствует","Проба не соответствует")</f>
        <v>Проба соответствует</v>
      </c>
    </row>
    <row r="173" customFormat="false" ht="15" hidden="false" customHeight="false" outlineLevel="0" collapsed="false">
      <c r="A173" s="9" t="str">
        <f aca="false">Данные_ввод!A173</f>
        <v>2026-03-04</v>
      </c>
      <c r="B173" s="9" t="str">
        <f aca="false">Данные_ввод!B173</f>
        <v>S-0172</v>
      </c>
      <c r="C173" s="9" t="str">
        <f aca="false">Данные_ввод!C173</f>
        <v>Точка-1 (скважина)</v>
      </c>
      <c r="D173" s="10" t="n">
        <f aca="false">(Данные_ввод!D173-Градуировка_Fe!$B$4)/Градуировка_Fe!$B$3</f>
        <v>0.164218320793025</v>
      </c>
      <c r="E173" s="11" t="str">
        <f aca="false">IF(D173&lt;=Нормативы!$C$2,"норма","превышение")</f>
        <v>норма</v>
      </c>
      <c r="F173" s="12" t="n">
        <f aca="false">Данные_ввод!E173</f>
        <v>8.13</v>
      </c>
      <c r="G173" s="11" t="str">
        <f aca="false">IF(AND(F173&gt;=Нормативы!$B$3,F173&lt;=Нормативы!$C$3),"норма","превышение")</f>
        <v>норма</v>
      </c>
      <c r="H173" s="13" t="n">
        <f aca="false">Данные_ввод!G173</f>
        <v>656</v>
      </c>
      <c r="I173" s="11" t="str">
        <f aca="false">IF(H173&lt;=Нормативы!$C$4,"норма","превышение")</f>
        <v>норма</v>
      </c>
      <c r="J173" s="11" t="str">
        <f aca="false">IF(AND(E173="норма",G173="норма",I173="норма"),"Проба соответствует","Проба не соответствует")</f>
        <v>Проба соответствует</v>
      </c>
    </row>
    <row r="174" customFormat="false" ht="15" hidden="false" customHeight="false" outlineLevel="0" collapsed="false">
      <c r="A174" s="9" t="str">
        <f aca="false">Данные_ввод!A174</f>
        <v>2026-03-05</v>
      </c>
      <c r="B174" s="9" t="str">
        <f aca="false">Данные_ввод!B174</f>
        <v>S-0173</v>
      </c>
      <c r="C174" s="9" t="str">
        <f aca="false">Данные_ввод!C174</f>
        <v>Точка-1 (скважина)</v>
      </c>
      <c r="D174" s="10" t="n">
        <f aca="false">(Данные_ввод!D174-Градуировка_Fe!$B$4)/Градуировка_Fe!$B$3</f>
        <v>0.101277917114535</v>
      </c>
      <c r="E174" s="11" t="str">
        <f aca="false">IF(D174&lt;=Нормативы!$C$2,"норма","превышение")</f>
        <v>норма</v>
      </c>
      <c r="F174" s="12" t="n">
        <f aca="false">Данные_ввод!E174</f>
        <v>6.79</v>
      </c>
      <c r="G174" s="11" t="str">
        <f aca="false">IF(AND(F174&gt;=Нормативы!$B$3,F174&lt;=Нормативы!$C$3),"норма","превышение")</f>
        <v>норма</v>
      </c>
      <c r="H174" s="13" t="n">
        <f aca="false">Данные_ввод!G174</f>
        <v>683</v>
      </c>
      <c r="I174" s="11" t="str">
        <f aca="false">IF(H174&lt;=Нормативы!$C$4,"норма","превышение")</f>
        <v>норма</v>
      </c>
      <c r="J174" s="11" t="str">
        <f aca="false">IF(AND(E174="норма",G174="норма",I174="норма"),"Проба соответствует","Проба не соответствует")</f>
        <v>Проба соответствует</v>
      </c>
    </row>
    <row r="175" customFormat="false" ht="15" hidden="false" customHeight="false" outlineLevel="0" collapsed="false">
      <c r="A175" s="9" t="str">
        <f aca="false">Данные_ввод!A175</f>
        <v>2026-03-05</v>
      </c>
      <c r="B175" s="9" t="str">
        <f aca="false">Данные_ввод!B175</f>
        <v>S-0174</v>
      </c>
      <c r="C175" s="9" t="str">
        <f aca="false">Данные_ввод!C175</f>
        <v>Точка-3 (сброс)</v>
      </c>
      <c r="D175" s="10" t="n">
        <f aca="false">(Данные_ввод!D175-Градуировка_Fe!$B$4)/Градуировка_Fe!$B$3</f>
        <v>0.403439627373701</v>
      </c>
      <c r="E175" s="11" t="str">
        <f aca="false">IF(D175&lt;=Нормативы!$C$2,"норма","превышение")</f>
        <v>превышение</v>
      </c>
      <c r="F175" s="12" t="n">
        <f aca="false">Данные_ввод!E175</f>
        <v>8.05</v>
      </c>
      <c r="G175" s="11" t="str">
        <f aca="false">IF(AND(F175&gt;=Нормативы!$B$3,F175&lt;=Нормативы!$C$3),"норма","превышение")</f>
        <v>норма</v>
      </c>
      <c r="H175" s="13" t="n">
        <f aca="false">Данные_ввод!G175</f>
        <v>519</v>
      </c>
      <c r="I175" s="11" t="str">
        <f aca="false">IF(H175&lt;=Нормативы!$C$4,"норма","превышение")</f>
        <v>норма</v>
      </c>
      <c r="J175" s="11" t="str">
        <f aca="false">IF(AND(E175="норма",G175="норма",I175="норма"),"Проба соответствует","Проба не соответствует")</f>
        <v>Проба не соответствует</v>
      </c>
    </row>
    <row r="176" customFormat="false" ht="15" hidden="false" customHeight="false" outlineLevel="0" collapsed="false">
      <c r="A176" s="9" t="str">
        <f aca="false">Данные_ввод!A176</f>
        <v>2026-03-05</v>
      </c>
      <c r="B176" s="9" t="str">
        <f aca="false">Данные_ввод!B176</f>
        <v>S-0175</v>
      </c>
      <c r="C176" s="9" t="str">
        <f aca="false">Данные_ввод!C176</f>
        <v>Точка-2 (резервуар)</v>
      </c>
      <c r="D176" s="10" t="n">
        <f aca="false">(Данные_ввод!D176-Градуировка_Fe!$B$4)/Градуировка_Fe!$B$3</f>
        <v>0.106891197898005</v>
      </c>
      <c r="E176" s="11" t="str">
        <f aca="false">IF(D176&lt;=Нормативы!$C$2,"норма","превышение")</f>
        <v>норма</v>
      </c>
      <c r="F176" s="12" t="n">
        <f aca="false">Данные_ввод!E176</f>
        <v>7.79</v>
      </c>
      <c r="G176" s="11" t="str">
        <f aca="false">IF(AND(F176&gt;=Нормативы!$B$3,F176&lt;=Нормативы!$C$3),"норма","превышение")</f>
        <v>норма</v>
      </c>
      <c r="H176" s="13" t="n">
        <f aca="false">Данные_ввод!G176</f>
        <v>552</v>
      </c>
      <c r="I176" s="11" t="str">
        <f aca="false">IF(H176&lt;=Нормативы!$C$4,"норма","превышение")</f>
        <v>норма</v>
      </c>
      <c r="J176" s="11" t="str">
        <f aca="false">IF(AND(E176="норма",G176="норма",I176="норма"),"Проба соответствует","Проба не соответствует")</f>
        <v>Проба соответствует</v>
      </c>
    </row>
    <row r="177" customFormat="false" ht="15" hidden="false" customHeight="false" outlineLevel="0" collapsed="false">
      <c r="A177" s="9" t="str">
        <f aca="false">Данные_ввод!A177</f>
        <v>2026-03-05</v>
      </c>
      <c r="B177" s="9" t="str">
        <f aca="false">Данные_ввод!B177</f>
        <v>S-0176</v>
      </c>
      <c r="C177" s="9" t="str">
        <f aca="false">Данные_ввод!C177</f>
        <v>Точка-2 (резервуар)</v>
      </c>
      <c r="D177" s="10" t="n">
        <f aca="false">(Данные_ввод!D177-Градуировка_Fe!$B$4)/Градуировка_Fe!$B$3</f>
        <v>0.0560133763286755</v>
      </c>
      <c r="E177" s="11" t="str">
        <f aca="false">IF(D177&lt;=Нормативы!$C$2,"норма","превышение")</f>
        <v>норма</v>
      </c>
      <c r="F177" s="12" t="n">
        <f aca="false">Данные_ввод!E177</f>
        <v>7.68</v>
      </c>
      <c r="G177" s="11" t="str">
        <f aca="false">IF(AND(F177&gt;=Нормативы!$B$3,F177&lt;=Нормативы!$C$3),"норма","превышение")</f>
        <v>норма</v>
      </c>
      <c r="H177" s="13" t="n">
        <f aca="false">Данные_ввод!G177</f>
        <v>415</v>
      </c>
      <c r="I177" s="11" t="str">
        <f aca="false">IF(H177&lt;=Нормативы!$C$4,"норма","превышение")</f>
        <v>норма</v>
      </c>
      <c r="J177" s="11" t="str">
        <f aca="false">IF(AND(E177="норма",G177="норма",I177="норма"),"Проба соответствует","Проба не соответствует")</f>
        <v>Проба соответствует</v>
      </c>
    </row>
    <row r="178" customFormat="false" ht="15" hidden="false" customHeight="false" outlineLevel="0" collapsed="false">
      <c r="A178" s="9" t="str">
        <f aca="false">Данные_ввод!A178</f>
        <v>2026-03-06</v>
      </c>
      <c r="B178" s="9" t="str">
        <f aca="false">Данные_ввод!B178</f>
        <v>S-0177</v>
      </c>
      <c r="C178" s="9" t="str">
        <f aca="false">Данные_ввод!C178</f>
        <v>Точка-3 (сброс)</v>
      </c>
      <c r="D178" s="10" t="n">
        <f aca="false">(Данные_ввод!D178-Градуировка_Fe!$B$4)/Градуировка_Fe!$B$3</f>
        <v>0.233608025797205</v>
      </c>
      <c r="E178" s="11" t="str">
        <f aca="false">IF(D178&lt;=Нормативы!$C$2,"норма","превышение")</f>
        <v>норма</v>
      </c>
      <c r="F178" s="12" t="n">
        <f aca="false">Данные_ввод!E178</f>
        <v>8.19</v>
      </c>
      <c r="G178" s="11" t="str">
        <f aca="false">IF(AND(F178&gt;=Нормативы!$B$3,F178&lt;=Нормативы!$C$3),"норма","превышение")</f>
        <v>норма</v>
      </c>
      <c r="H178" s="13" t="n">
        <f aca="false">Данные_ввод!G178</f>
        <v>771</v>
      </c>
      <c r="I178" s="11" t="str">
        <f aca="false">IF(H178&lt;=Нормативы!$C$4,"норма","превышение")</f>
        <v>норма</v>
      </c>
      <c r="J178" s="11" t="str">
        <f aca="false">IF(AND(E178="норма",G178="норма",I178="норма"),"Проба соответствует","Проба не соответствует")</f>
        <v>Проба соответствует</v>
      </c>
    </row>
    <row r="179" customFormat="false" ht="15" hidden="false" customHeight="false" outlineLevel="0" collapsed="false">
      <c r="A179" s="9" t="str">
        <f aca="false">Данные_ввод!A179</f>
        <v>2026-03-06</v>
      </c>
      <c r="B179" s="9" t="str">
        <f aca="false">Данные_ввод!B179</f>
        <v>S-0178</v>
      </c>
      <c r="C179" s="9" t="str">
        <f aca="false">Данные_ввод!C179</f>
        <v>Точка-2 (резервуар)</v>
      </c>
      <c r="D179" s="10" t="n">
        <f aca="false">(Данные_ввод!D179-Градуировка_Fe!$B$4)/Градуировка_Fe!$B$3</f>
        <v>0.340499223695211</v>
      </c>
      <c r="E179" s="11" t="str">
        <f aca="false">IF(D179&lt;=Нормативы!$C$2,"норма","превышение")</f>
        <v>превышение</v>
      </c>
      <c r="F179" s="12" t="n">
        <f aca="false">Данные_ввод!E179</f>
        <v>7.07</v>
      </c>
      <c r="G179" s="11" t="str">
        <f aca="false">IF(AND(F179&gt;=Нормативы!$B$3,F179&lt;=Нормативы!$C$3),"норма","превышение")</f>
        <v>норма</v>
      </c>
      <c r="H179" s="13" t="n">
        <f aca="false">Данные_ввод!G179</f>
        <v>752</v>
      </c>
      <c r="I179" s="11" t="str">
        <f aca="false">IF(H179&lt;=Нормативы!$C$4,"норма","превышение")</f>
        <v>норма</v>
      </c>
      <c r="J179" s="11" t="str">
        <f aca="false">IF(AND(E179="норма",G179="норма",I179="норма"),"Проба соответствует","Проба не соответствует")</f>
        <v>Проба не соответствует</v>
      </c>
    </row>
    <row r="180" customFormat="false" ht="15" hidden="false" customHeight="false" outlineLevel="0" collapsed="false">
      <c r="A180" s="9" t="str">
        <f aca="false">Данные_ввод!A180</f>
        <v>2026-03-06</v>
      </c>
      <c r="B180" s="9" t="str">
        <f aca="false">Данные_ввод!B180</f>
        <v>S-0179</v>
      </c>
      <c r="C180" s="9" t="str">
        <f aca="false">Данные_ввод!C180</f>
        <v>Точка-1 (скважина)</v>
      </c>
      <c r="D180" s="10" t="n">
        <f aca="false">(Данные_ввод!D180-Градуировка_Fe!$B$4)/Градуировка_Fe!$B$3</f>
        <v>0.0257972053027589</v>
      </c>
      <c r="E180" s="11" t="str">
        <f aca="false">IF(D180&lt;=Нормативы!$C$2,"норма","превышение")</f>
        <v>норма</v>
      </c>
      <c r="F180" s="12" t="n">
        <f aca="false">Данные_ввод!E180</f>
        <v>7.04</v>
      </c>
      <c r="G180" s="11" t="str">
        <f aca="false">IF(AND(F180&gt;=Нормативы!$B$3,F180&lt;=Нормативы!$C$3),"норма","превышение")</f>
        <v>норма</v>
      </c>
      <c r="H180" s="13" t="n">
        <f aca="false">Данные_ввод!G180</f>
        <v>809</v>
      </c>
      <c r="I180" s="11" t="str">
        <f aca="false">IF(H180&lt;=Нормативы!$C$4,"норма","превышение")</f>
        <v>норма</v>
      </c>
      <c r="J180" s="11" t="str">
        <f aca="false">IF(AND(E180="норма",G180="норма",I180="норма"),"Проба соответствует","Проба не соответствует")</f>
        <v>Проба соответствует</v>
      </c>
    </row>
    <row r="181" customFormat="false" ht="15" hidden="false" customHeight="false" outlineLevel="0" collapsed="false">
      <c r="A181" s="9" t="str">
        <f aca="false">Данные_ввод!A181</f>
        <v>2026-03-06</v>
      </c>
      <c r="B181" s="9" t="str">
        <f aca="false">Данные_ввод!B181</f>
        <v>S-0180</v>
      </c>
      <c r="C181" s="9" t="str">
        <f aca="false">Данные_ввод!C181</f>
        <v>Точка-1 (скважина)</v>
      </c>
      <c r="D181" s="10" t="n">
        <f aca="false">(Данные_ввод!D181-Градуировка_Fe!$B$4)/Градуировка_Fe!$B$3</f>
        <v>0.112385047175445</v>
      </c>
      <c r="E181" s="11" t="str">
        <f aca="false">IF(D181&lt;=Нормативы!$C$2,"норма","превышение")</f>
        <v>норма</v>
      </c>
      <c r="F181" s="12" t="n">
        <f aca="false">Данные_ввод!E181</f>
        <v>7.23</v>
      </c>
      <c r="G181" s="11" t="str">
        <f aca="false">IF(AND(F181&gt;=Нормативы!$B$3,F181&lt;=Нормативы!$C$3),"норма","превышение")</f>
        <v>норма</v>
      </c>
      <c r="H181" s="13" t="n">
        <f aca="false">Данные_ввод!G181</f>
        <v>508</v>
      </c>
      <c r="I181" s="11" t="str">
        <f aca="false">IF(H181&lt;=Нормативы!$C$4,"норма","превышение")</f>
        <v>норма</v>
      </c>
      <c r="J181" s="11" t="str">
        <f aca="false">IF(AND(E181="норма",G181="норма",I181="норма"),"Проба соответствует","Проба не соответствует")</f>
        <v>Проба соответствует</v>
      </c>
    </row>
    <row r="182" customFormat="false" ht="15" hidden="false" customHeight="false" outlineLevel="0" collapsed="false">
      <c r="A182" s="9" t="str">
        <f aca="false">Данные_ввод!A182</f>
        <v>2026-03-09</v>
      </c>
      <c r="B182" s="9" t="str">
        <f aca="false">Данные_ввод!B182</f>
        <v>S-0181</v>
      </c>
      <c r="C182" s="9" t="str">
        <f aca="false">Данные_ввод!C182</f>
        <v>Точка-1 (скважина)</v>
      </c>
      <c r="D182" s="10" t="n">
        <f aca="false">(Данные_ввод!D182-Градуировка_Fe!$B$4)/Градуировка_Fe!$B$3</f>
        <v>-0.00203033560253195</v>
      </c>
      <c r="E182" s="11" t="str">
        <f aca="false">IF(D182&lt;=Нормативы!$C$2,"норма","превышение")</f>
        <v>норма</v>
      </c>
      <c r="F182" s="12" t="n">
        <f aca="false">Данные_ввод!E182</f>
        <v>7.57</v>
      </c>
      <c r="G182" s="11" t="str">
        <f aca="false">IF(AND(F182&gt;=Нормативы!$B$3,F182&lt;=Нормативы!$C$3),"норма","превышение")</f>
        <v>норма</v>
      </c>
      <c r="H182" s="13" t="n">
        <f aca="false">Данные_ввод!G182</f>
        <v>696</v>
      </c>
      <c r="I182" s="11" t="str">
        <f aca="false">IF(H182&lt;=Нормативы!$C$4,"норма","превышение")</f>
        <v>норма</v>
      </c>
      <c r="J182" s="11" t="str">
        <f aca="false">IF(AND(E182="норма",G182="норма",I182="норма"),"Проба соответствует","Проба не соответствует")</f>
        <v>Проба соответствует</v>
      </c>
    </row>
    <row r="183" customFormat="false" ht="15" hidden="false" customHeight="false" outlineLevel="0" collapsed="false">
      <c r="A183" s="9" t="str">
        <f aca="false">Данные_ввод!A183</f>
        <v>2026-03-09</v>
      </c>
      <c r="B183" s="9" t="str">
        <f aca="false">Данные_ввод!B183</f>
        <v>S-0182</v>
      </c>
      <c r="C183" s="9" t="str">
        <f aca="false">Данные_ввод!C183</f>
        <v>Точка-1 (скважина)</v>
      </c>
      <c r="D183" s="10" t="n">
        <f aca="false">(Данные_ввод!D183-Градуировка_Fe!$B$4)/Градуировка_Fe!$B$3</f>
        <v>0.0961423623551893</v>
      </c>
      <c r="E183" s="11" t="str">
        <f aca="false">IF(D183&lt;=Нормативы!$C$2,"норма","превышение")</f>
        <v>норма</v>
      </c>
      <c r="F183" s="12" t="n">
        <f aca="false">Данные_ввод!E183</f>
        <v>6.54</v>
      </c>
      <c r="G183" s="11" t="str">
        <f aca="false">IF(AND(F183&gt;=Нормативы!$B$3,F183&lt;=Нормативы!$C$3),"норма","превышение")</f>
        <v>норма</v>
      </c>
      <c r="H183" s="13" t="n">
        <f aca="false">Данные_ввод!G183</f>
        <v>574</v>
      </c>
      <c r="I183" s="11" t="str">
        <f aca="false">IF(H183&lt;=Нормативы!$C$4,"норма","превышение")</f>
        <v>норма</v>
      </c>
      <c r="J183" s="11" t="str">
        <f aca="false">IF(AND(E183="норма",G183="норма",I183="норма"),"Проба соответствует","Проба не соответствует")</f>
        <v>Проба соответствует</v>
      </c>
    </row>
    <row r="184" customFormat="false" ht="15" hidden="false" customHeight="false" outlineLevel="0" collapsed="false">
      <c r="A184" s="9" t="str">
        <f aca="false">Данные_ввод!A184</f>
        <v>2026-03-09</v>
      </c>
      <c r="B184" s="9" t="str">
        <f aca="false">Данные_ввод!B184</f>
        <v>S-0183</v>
      </c>
      <c r="C184" s="9" t="str">
        <f aca="false">Данные_ввод!C184</f>
        <v>Точка-2 (резервуар)</v>
      </c>
      <c r="D184" s="10" t="n">
        <f aca="false">(Данные_ввод!D184-Градуировка_Fe!$B$4)/Градуировка_Fe!$B$3</f>
        <v>0.0492057804848919</v>
      </c>
      <c r="E184" s="11" t="str">
        <f aca="false">IF(D184&lt;=Нормативы!$C$2,"норма","превышение")</f>
        <v>норма</v>
      </c>
      <c r="F184" s="12" t="n">
        <f aca="false">Данные_ввод!E184</f>
        <v>7.64</v>
      </c>
      <c r="G184" s="11" t="str">
        <f aca="false">IF(AND(F184&gt;=Нормативы!$B$3,F184&lt;=Нормативы!$C$3),"норма","превышение")</f>
        <v>норма</v>
      </c>
      <c r="H184" s="13" t="n">
        <f aca="false">Данные_ввод!G184</f>
        <v>577</v>
      </c>
      <c r="I184" s="11" t="str">
        <f aca="false">IF(H184&lt;=Нормативы!$C$4,"норма","превышение")</f>
        <v>норма</v>
      </c>
      <c r="J184" s="11" t="str">
        <f aca="false">IF(AND(E184="норма",G184="норма",I184="норма"),"Проба соответствует","Проба не соответствует")</f>
        <v>Проба соответствует</v>
      </c>
    </row>
    <row r="185" customFormat="false" ht="15" hidden="false" customHeight="false" outlineLevel="0" collapsed="false">
      <c r="A185" s="9" t="str">
        <f aca="false">Данные_ввод!A185</f>
        <v>2026-03-09</v>
      </c>
      <c r="B185" s="9" t="str">
        <f aca="false">Данные_ввод!B185</f>
        <v>S-0184</v>
      </c>
      <c r="C185" s="9" t="str">
        <f aca="false">Данные_ввод!C185</f>
        <v>Точка-3 (сброс)</v>
      </c>
      <c r="D185" s="10" t="n">
        <f aca="false">(Данные_ввод!D185-Градуировка_Fe!$B$4)/Градуировка_Fe!$B$3</f>
        <v>0.222620327242327</v>
      </c>
      <c r="E185" s="11" t="str">
        <f aca="false">IF(D185&lt;=Нормативы!$C$2,"норма","превышение")</f>
        <v>норма</v>
      </c>
      <c r="F185" s="12" t="n">
        <f aca="false">Данные_ввод!E185</f>
        <v>5.86</v>
      </c>
      <c r="G185" s="11" t="str">
        <f aca="false">IF(AND(F185&gt;=Нормативы!$B$3,F185&lt;=Нормативы!$C$3),"норма","превышение")</f>
        <v>превышение</v>
      </c>
      <c r="H185" s="13" t="n">
        <f aca="false">Данные_ввод!G185</f>
        <v>623</v>
      </c>
      <c r="I185" s="11" t="str">
        <f aca="false">IF(H185&lt;=Нормативы!$C$4,"норма","превышение")</f>
        <v>норма</v>
      </c>
      <c r="J185" s="11" t="str">
        <f aca="false">IF(AND(E185="норма",G185="норма",I185="норма"),"Проба соответствует","Проба не соответствует")</f>
        <v>Проба не соответствует</v>
      </c>
    </row>
    <row r="186" customFormat="false" ht="15" hidden="false" customHeight="false" outlineLevel="0" collapsed="false">
      <c r="A186" s="9" t="str">
        <f aca="false">Данные_ввод!A186</f>
        <v>2026-03-10</v>
      </c>
      <c r="B186" s="9" t="str">
        <f aca="false">Данные_ввод!B186</f>
        <v>S-0185</v>
      </c>
      <c r="C186" s="9" t="str">
        <f aca="false">Данные_ввод!C186</f>
        <v>Точка-2 (резервуар)</v>
      </c>
      <c r="D186" s="10" t="n">
        <f aca="false">(Данные_ввод!D186-Градуировка_Fe!$B$4)/Градуировка_Fe!$B$3</f>
        <v>0.20446673832557</v>
      </c>
      <c r="E186" s="11" t="str">
        <f aca="false">IF(D186&lt;=Нормативы!$C$2,"норма","превышение")</f>
        <v>норма</v>
      </c>
      <c r="F186" s="12" t="n">
        <f aca="false">Данные_ввод!E186</f>
        <v>7.21</v>
      </c>
      <c r="G186" s="11" t="str">
        <f aca="false">IF(AND(F186&gt;=Нормативы!$B$3,F186&lt;=Нормативы!$C$3),"норма","превышение")</f>
        <v>норма</v>
      </c>
      <c r="H186" s="13" t="n">
        <f aca="false">Данные_ввод!G186</f>
        <v>666</v>
      </c>
      <c r="I186" s="11" t="str">
        <f aca="false">IF(H186&lt;=Нормативы!$C$4,"норма","превышение")</f>
        <v>норма</v>
      </c>
      <c r="J186" s="11" t="str">
        <f aca="false">IF(AND(E186="норма",G186="норма",I186="норма"),"Проба соответствует","Проба не соответствует")</f>
        <v>Проба соответствует</v>
      </c>
    </row>
    <row r="187" customFormat="false" ht="15" hidden="false" customHeight="false" outlineLevel="0" collapsed="false">
      <c r="A187" s="9" t="str">
        <f aca="false">Данные_ввод!A187</f>
        <v>2026-03-10</v>
      </c>
      <c r="B187" s="9" t="str">
        <f aca="false">Данные_ввод!B187</f>
        <v>S-0186</v>
      </c>
      <c r="C187" s="9" t="str">
        <f aca="false">Данные_ввод!C187</f>
        <v>Точка-1 (скважина)</v>
      </c>
      <c r="D187" s="10" t="n">
        <f aca="false">(Данные_ввод!D187-Градуировка_Fe!$B$4)/Градуировка_Fe!$B$3</f>
        <v>0.232533142242924</v>
      </c>
      <c r="E187" s="11" t="str">
        <f aca="false">IF(D187&lt;=Нормативы!$C$2,"норма","превышение")</f>
        <v>норма</v>
      </c>
      <c r="F187" s="12" t="n">
        <f aca="false">Данные_ввод!E187</f>
        <v>6.66</v>
      </c>
      <c r="G187" s="11" t="str">
        <f aca="false">IF(AND(F187&gt;=Нормативы!$B$3,F187&lt;=Нормативы!$C$3),"норма","превышение")</f>
        <v>норма</v>
      </c>
      <c r="H187" s="13" t="n">
        <f aca="false">Данные_ввод!G187</f>
        <v>356</v>
      </c>
      <c r="I187" s="11" t="str">
        <f aca="false">IF(H187&lt;=Нормативы!$C$4,"норма","превышение")</f>
        <v>норма</v>
      </c>
      <c r="J187" s="11" t="str">
        <f aca="false">IF(AND(E187="норма",G187="норма",I187="норма"),"Проба соответствует","Проба не соответствует")</f>
        <v>Проба соответствует</v>
      </c>
    </row>
    <row r="188" customFormat="false" ht="15" hidden="false" customHeight="false" outlineLevel="0" collapsed="false">
      <c r="A188" s="9" t="str">
        <f aca="false">Данные_ввод!A188</f>
        <v>2026-03-10</v>
      </c>
      <c r="B188" s="9" t="str">
        <f aca="false">Данные_ввод!B188</f>
        <v>S-0187</v>
      </c>
      <c r="C188" s="9" t="str">
        <f aca="false">Данные_ввод!C188</f>
        <v>Точка-1 (скважина)</v>
      </c>
      <c r="D188" s="10" t="n">
        <f aca="false">(Данные_ввод!D188-Градуировка_Fe!$B$4)/Градуировка_Fe!$B$3</f>
        <v>0.0959034993431267</v>
      </c>
      <c r="E188" s="11" t="str">
        <f aca="false">IF(D188&lt;=Нормативы!$C$2,"норма","превышение")</f>
        <v>норма</v>
      </c>
      <c r="F188" s="12" t="n">
        <f aca="false">Данные_ввод!E188</f>
        <v>7.74</v>
      </c>
      <c r="G188" s="11" t="str">
        <f aca="false">IF(AND(F188&gt;=Нормативы!$B$3,F188&lt;=Нормативы!$C$3),"норма","превышение")</f>
        <v>норма</v>
      </c>
      <c r="H188" s="13" t="n">
        <f aca="false">Данные_ввод!G188</f>
        <v>906</v>
      </c>
      <c r="I188" s="11" t="str">
        <f aca="false">IF(H188&lt;=Нормативы!$C$4,"норма","превышение")</f>
        <v>норма</v>
      </c>
      <c r="J188" s="11" t="str">
        <f aca="false">IF(AND(E188="норма",G188="норма",I188="норма"),"Проба соответствует","Проба не соответствует")</f>
        <v>Проба соответствует</v>
      </c>
    </row>
    <row r="189" customFormat="false" ht="15" hidden="false" customHeight="false" outlineLevel="0" collapsed="false">
      <c r="A189" s="9" t="str">
        <f aca="false">Данные_ввод!A189</f>
        <v>2026-03-10</v>
      </c>
      <c r="B189" s="9" t="str">
        <f aca="false">Данные_ввод!B189</f>
        <v>S-0188</v>
      </c>
      <c r="C189" s="9" t="str">
        <f aca="false">Данные_ввод!C189</f>
        <v>Точка-3 (сброс)</v>
      </c>
      <c r="D189" s="10" t="n">
        <f aca="false">(Данные_ввод!D189-Градуировка_Fe!$B$4)/Градуировка_Fe!$B$3</f>
        <v>0.0636569927146781</v>
      </c>
      <c r="E189" s="11" t="str">
        <f aca="false">IF(D189&lt;=Нормативы!$C$2,"норма","превышение")</f>
        <v>норма</v>
      </c>
      <c r="F189" s="12" t="n">
        <f aca="false">Данные_ввод!E189</f>
        <v>7.69</v>
      </c>
      <c r="G189" s="11" t="str">
        <f aca="false">IF(AND(F189&gt;=Нормативы!$B$3,F189&lt;=Нормативы!$C$3),"норма","превышение")</f>
        <v>норма</v>
      </c>
      <c r="H189" s="13" t="n">
        <f aca="false">Данные_ввод!G189</f>
        <v>921</v>
      </c>
      <c r="I189" s="11" t="str">
        <f aca="false">IF(H189&lt;=Нормативы!$C$4,"норма","превышение")</f>
        <v>норма</v>
      </c>
      <c r="J189" s="11" t="str">
        <f aca="false">IF(AND(E189="норма",G189="норма",I189="норма"),"Проба соответствует","Проба не соответствует")</f>
        <v>Проба соответствует</v>
      </c>
    </row>
    <row r="190" customFormat="false" ht="15" hidden="false" customHeight="false" outlineLevel="0" collapsed="false">
      <c r="A190" s="9" t="str">
        <f aca="false">Данные_ввод!A190</f>
        <v>2026-03-11</v>
      </c>
      <c r="B190" s="9" t="str">
        <f aca="false">Данные_ввод!B190</f>
        <v>S-0189</v>
      </c>
      <c r="C190" s="9" t="str">
        <f aca="false">Данные_ввод!C190</f>
        <v>Точка-1 (скважина)</v>
      </c>
      <c r="D190" s="10" t="n">
        <f aca="false">(Данные_ввод!D190-Градуировка_Fe!$B$4)/Градуировка_Fe!$B$3</f>
        <v>0.154544368804491</v>
      </c>
      <c r="E190" s="11" t="str">
        <f aca="false">IF(D190&lt;=Нормативы!$C$2,"норма","превышение")</f>
        <v>норма</v>
      </c>
      <c r="F190" s="12" t="n">
        <f aca="false">Данные_ввод!E190</f>
        <v>6.96</v>
      </c>
      <c r="G190" s="11" t="str">
        <f aca="false">IF(AND(F190&gt;=Нормативы!$B$3,F190&lt;=Нормативы!$C$3),"норма","превышение")</f>
        <v>норма</v>
      </c>
      <c r="H190" s="13" t="n">
        <f aca="false">Данные_ввод!G190</f>
        <v>617</v>
      </c>
      <c r="I190" s="11" t="str">
        <f aca="false">IF(H190&lt;=Нормативы!$C$4,"норма","превышение")</f>
        <v>норма</v>
      </c>
      <c r="J190" s="11" t="str">
        <f aca="false">IF(AND(E190="норма",G190="норма",I190="норма"),"Проба соответствует","Проба не соответствует")</f>
        <v>Проба соответствует</v>
      </c>
    </row>
    <row r="191" customFormat="false" ht="15" hidden="false" customHeight="false" outlineLevel="0" collapsed="false">
      <c r="A191" s="9" t="str">
        <f aca="false">Данные_ввод!A191</f>
        <v>2026-03-11</v>
      </c>
      <c r="B191" s="9" t="str">
        <f aca="false">Данные_ввод!B191</f>
        <v>S-0190</v>
      </c>
      <c r="C191" s="9" t="str">
        <f aca="false">Данные_ввод!C191</f>
        <v>Точка-2 (резервуар)</v>
      </c>
      <c r="D191" s="10" t="n">
        <f aca="false">(Данные_ввод!D191-Градуировка_Fe!$B$4)/Градуировка_Fe!$B$3</f>
        <v>0.287113340499224</v>
      </c>
      <c r="E191" s="11" t="str">
        <f aca="false">IF(D191&lt;=Нормативы!$C$2,"норма","превышение")</f>
        <v>норма</v>
      </c>
      <c r="F191" s="12" t="n">
        <f aca="false">Данные_ввод!E191</f>
        <v>5.41</v>
      </c>
      <c r="G191" s="11" t="str">
        <f aca="false">IF(AND(F191&gt;=Нормативы!$B$3,F191&lt;=Нормативы!$C$3),"норма","превышение")</f>
        <v>превышение</v>
      </c>
      <c r="H191" s="13" t="n">
        <f aca="false">Данные_ввод!G191</f>
        <v>659</v>
      </c>
      <c r="I191" s="11" t="str">
        <f aca="false">IF(H191&lt;=Нормативы!$C$4,"норма","превышение")</f>
        <v>норма</v>
      </c>
      <c r="J191" s="11" t="str">
        <f aca="false">IF(AND(E191="норма",G191="норма",I191="норма"),"Проба соответствует","Проба не соответствует")</f>
        <v>Проба не соответствует</v>
      </c>
    </row>
    <row r="192" customFormat="false" ht="15" hidden="false" customHeight="false" outlineLevel="0" collapsed="false">
      <c r="A192" s="9" t="str">
        <f aca="false">Данные_ввод!A192</f>
        <v>2026-03-11</v>
      </c>
      <c r="B192" s="9" t="str">
        <f aca="false">Данные_ввод!B192</f>
        <v>S-0191</v>
      </c>
      <c r="C192" s="9" t="str">
        <f aca="false">Данные_ввод!C192</f>
        <v>Точка-1 (скважина)</v>
      </c>
      <c r="D192" s="10" t="n">
        <f aca="false">(Данные_ввод!D192-Градуировка_Fe!$B$4)/Градуировка_Fe!$B$3</f>
        <v>0.0875432939209363</v>
      </c>
      <c r="E192" s="11" t="str">
        <f aca="false">IF(D192&lt;=Нормативы!$C$2,"норма","превышение")</f>
        <v>норма</v>
      </c>
      <c r="F192" s="12" t="n">
        <f aca="false">Данные_ввод!E192</f>
        <v>7.51</v>
      </c>
      <c r="G192" s="11" t="str">
        <f aca="false">IF(AND(F192&gt;=Нормативы!$B$3,F192&lt;=Нормативы!$C$3),"норма","превышение")</f>
        <v>норма</v>
      </c>
      <c r="H192" s="13" t="n">
        <f aca="false">Данные_ввод!G192</f>
        <v>700</v>
      </c>
      <c r="I192" s="11" t="str">
        <f aca="false">IF(H192&lt;=Нормативы!$C$4,"норма","превышение")</f>
        <v>норма</v>
      </c>
      <c r="J192" s="11" t="str">
        <f aca="false">IF(AND(E192="норма",G192="норма",I192="норма"),"Проба соответствует","Проба не соответствует")</f>
        <v>Проба соответствует</v>
      </c>
    </row>
    <row r="193" customFormat="false" ht="15" hidden="false" customHeight="false" outlineLevel="0" collapsed="false">
      <c r="A193" s="9" t="str">
        <f aca="false">Данные_ввод!A193</f>
        <v>2026-03-11</v>
      </c>
      <c r="B193" s="9" t="str">
        <f aca="false">Данные_ввод!B193</f>
        <v>S-0192</v>
      </c>
      <c r="C193" s="9" t="str">
        <f aca="false">Данные_ввод!C193</f>
        <v>Точка-3 (сброс)</v>
      </c>
      <c r="D193" s="10" t="n">
        <f aca="false">(Данные_ввод!D193-Градуировка_Fe!$B$4)/Градуировка_Fe!$B$3</f>
        <v>0.269795772124687</v>
      </c>
      <c r="E193" s="11" t="str">
        <f aca="false">IF(D193&lt;=Нормативы!$C$2,"норма","превышение")</f>
        <v>норма</v>
      </c>
      <c r="F193" s="12" t="n">
        <f aca="false">Данные_ввод!E193</f>
        <v>6.6</v>
      </c>
      <c r="G193" s="11" t="str">
        <f aca="false">IF(AND(F193&gt;=Нормативы!$B$3,F193&lt;=Нормативы!$C$3),"норма","превышение")</f>
        <v>норма</v>
      </c>
      <c r="H193" s="13" t="n">
        <f aca="false">Данные_ввод!G193</f>
        <v>764</v>
      </c>
      <c r="I193" s="11" t="str">
        <f aca="false">IF(H193&lt;=Нормативы!$C$4,"норма","превышение")</f>
        <v>норма</v>
      </c>
      <c r="J193" s="11" t="str">
        <f aca="false">IF(AND(E193="норма",G193="норма",I193="норма"),"Проба соответствует","Проба не соответствует")</f>
        <v>Проба соответствует</v>
      </c>
    </row>
    <row r="194" customFormat="false" ht="15" hidden="false" customHeight="false" outlineLevel="0" collapsed="false">
      <c r="A194" s="9" t="str">
        <f aca="false">Данные_ввод!A194</f>
        <v>2026-03-12</v>
      </c>
      <c r="B194" s="9" t="str">
        <f aca="false">Данные_ввод!B194</f>
        <v>S-0193</v>
      </c>
      <c r="C194" s="9" t="str">
        <f aca="false">Данные_ввод!C194</f>
        <v>Точка-3 (сброс)</v>
      </c>
      <c r="D194" s="10" t="n">
        <f aca="false">(Данные_ввод!D194-Градуировка_Fe!$B$4)/Градуировка_Fe!$B$3</f>
        <v>0.234563477845456</v>
      </c>
      <c r="E194" s="11" t="str">
        <f aca="false">IF(D194&lt;=Нормативы!$C$2,"норма","превышение")</f>
        <v>норма</v>
      </c>
      <c r="F194" s="12" t="n">
        <f aca="false">Данные_ввод!E194</f>
        <v>6.68</v>
      </c>
      <c r="G194" s="11" t="str">
        <f aca="false">IF(AND(F194&gt;=Нормативы!$B$3,F194&lt;=Нормативы!$C$3),"норма","превышение")</f>
        <v>норма</v>
      </c>
      <c r="H194" s="13" t="n">
        <f aca="false">Данные_ввод!G194</f>
        <v>585</v>
      </c>
      <c r="I194" s="11" t="str">
        <f aca="false">IF(H194&lt;=Нормативы!$C$4,"норма","превышение")</f>
        <v>норма</v>
      </c>
      <c r="J194" s="11" t="str">
        <f aca="false">IF(AND(E194="норма",G194="норма",I194="норма"),"Проба соответствует","Проба не соответствует")</f>
        <v>Проба соответствует</v>
      </c>
    </row>
    <row r="195" customFormat="false" ht="15" hidden="false" customHeight="false" outlineLevel="0" collapsed="false">
      <c r="A195" s="9" t="str">
        <f aca="false">Данные_ввод!A195</f>
        <v>2026-03-12</v>
      </c>
      <c r="B195" s="9" t="str">
        <f aca="false">Данные_ввод!B195</f>
        <v>S-0194</v>
      </c>
      <c r="C195" s="9" t="str">
        <f aca="false">Данные_ввод!C195</f>
        <v>Точка-1 (скважина)</v>
      </c>
      <c r="D195" s="10" t="n">
        <f aca="false">(Данные_ввод!D195-Градуировка_Fe!$B$4)/Градуировка_Fe!$B$3</f>
        <v>0.1461841633823</v>
      </c>
      <c r="E195" s="11" t="str">
        <f aca="false">IF(D195&lt;=Нормативы!$C$2,"норма","превышение")</f>
        <v>норма</v>
      </c>
      <c r="F195" s="12" t="n">
        <f aca="false">Данные_ввод!E195</f>
        <v>7.38</v>
      </c>
      <c r="G195" s="11" t="str">
        <f aca="false">IF(AND(F195&gt;=Нормативы!$B$3,F195&lt;=Нормативы!$C$3),"норма","превышение")</f>
        <v>норма</v>
      </c>
      <c r="H195" s="13" t="n">
        <f aca="false">Данные_ввод!G195</f>
        <v>580</v>
      </c>
      <c r="I195" s="11" t="str">
        <f aca="false">IF(H195&lt;=Нормативы!$C$4,"норма","превышение")</f>
        <v>норма</v>
      </c>
      <c r="J195" s="11" t="str">
        <f aca="false">IF(AND(E195="норма",G195="норма",I195="норма"),"Проба соответствует","Проба не соответствует")</f>
        <v>Проба соответствует</v>
      </c>
    </row>
    <row r="196" customFormat="false" ht="15" hidden="false" customHeight="false" outlineLevel="0" collapsed="false">
      <c r="A196" s="9" t="str">
        <f aca="false">Данные_ввод!A196</f>
        <v>2026-03-12</v>
      </c>
      <c r="B196" s="9" t="str">
        <f aca="false">Данные_ввод!B196</f>
        <v>S-0195</v>
      </c>
      <c r="C196" s="9" t="str">
        <f aca="false">Данные_ввод!C196</f>
        <v>Точка-3 (сброс)</v>
      </c>
      <c r="D196" s="10" t="n">
        <f aca="false">(Данные_ввод!D196-Градуировка_Fe!$B$4)/Градуировка_Fe!$B$3</f>
        <v>0.310880210199451</v>
      </c>
      <c r="E196" s="11" t="str">
        <f aca="false">IF(D196&lt;=Нормативы!$C$2,"норма","превышение")</f>
        <v>превышение</v>
      </c>
      <c r="F196" s="12" t="n">
        <f aca="false">Данные_ввод!E196</f>
        <v>7.43</v>
      </c>
      <c r="G196" s="11" t="str">
        <f aca="false">IF(AND(F196&gt;=Нормативы!$B$3,F196&lt;=Нормативы!$C$3),"норма","превышение")</f>
        <v>норма</v>
      </c>
      <c r="H196" s="13" t="n">
        <f aca="false">Данные_ввод!G196</f>
        <v>790</v>
      </c>
      <c r="I196" s="11" t="str">
        <f aca="false">IF(H196&lt;=Нормативы!$C$4,"норма","превышение")</f>
        <v>норма</v>
      </c>
      <c r="J196" s="11" t="str">
        <f aca="false">IF(AND(E196="норма",G196="норма",I196="норма"),"Проба соответствует","Проба не соответствует")</f>
        <v>Проба не соответствует</v>
      </c>
    </row>
    <row r="197" customFormat="false" ht="15" hidden="false" customHeight="false" outlineLevel="0" collapsed="false">
      <c r="A197" s="9" t="str">
        <f aca="false">Данные_ввод!A197</f>
        <v>2026-03-12</v>
      </c>
      <c r="B197" s="9" t="str">
        <f aca="false">Данные_ввод!B197</f>
        <v>S-0196</v>
      </c>
      <c r="C197" s="9" t="str">
        <f aca="false">Данные_ввод!C197</f>
        <v>Точка-1 (скважина)</v>
      </c>
      <c r="D197" s="10" t="n">
        <f aca="false">(Данные_ввод!D197-Градуировка_Fe!$B$4)/Градуировка_Fe!$B$3</f>
        <v>0.0388152394601696</v>
      </c>
      <c r="E197" s="11" t="str">
        <f aca="false">IF(D197&lt;=Нормативы!$C$2,"норма","превышение")</f>
        <v>норма</v>
      </c>
      <c r="F197" s="12" t="n">
        <f aca="false">Данные_ввод!E197</f>
        <v>7.46</v>
      </c>
      <c r="G197" s="11" t="str">
        <f aca="false">IF(AND(F197&gt;=Нормативы!$B$3,F197&lt;=Нормативы!$C$3),"норма","превышение")</f>
        <v>норма</v>
      </c>
      <c r="H197" s="13" t="n">
        <f aca="false">Данные_ввод!G197</f>
        <v>844</v>
      </c>
      <c r="I197" s="11" t="str">
        <f aca="false">IF(H197&lt;=Нормативы!$C$4,"норма","превышение")</f>
        <v>норма</v>
      </c>
      <c r="J197" s="11" t="str">
        <f aca="false">IF(AND(E197="норма",G197="норма",I197="норма"),"Проба соответствует","Проба не соответствует")</f>
        <v>Проба соответствует</v>
      </c>
    </row>
    <row r="198" customFormat="false" ht="15" hidden="false" customHeight="false" outlineLevel="0" collapsed="false">
      <c r="A198" s="9" t="str">
        <f aca="false">Данные_ввод!A198</f>
        <v>2026-03-13</v>
      </c>
      <c r="B198" s="9" t="str">
        <f aca="false">Данные_ввод!B198</f>
        <v>S-0197</v>
      </c>
      <c r="C198" s="9" t="str">
        <f aca="false">Данные_ввод!C198</f>
        <v>Точка-2 (резервуар)</v>
      </c>
      <c r="D198" s="10" t="n">
        <f aca="false">(Данные_ввод!D198-Градуировка_Fe!$B$4)/Градуировка_Fe!$B$3</f>
        <v>0.168278991998089</v>
      </c>
      <c r="E198" s="11" t="str">
        <f aca="false">IF(D198&lt;=Нормативы!$C$2,"норма","превышение")</f>
        <v>норма</v>
      </c>
      <c r="F198" s="12" t="n">
        <f aca="false">Данные_ввод!E198</f>
        <v>6.91</v>
      </c>
      <c r="G198" s="11" t="str">
        <f aca="false">IF(AND(F198&gt;=Нормативы!$B$3,F198&lt;=Нормативы!$C$3),"норма","превышение")</f>
        <v>норма</v>
      </c>
      <c r="H198" s="13" t="n">
        <f aca="false">Данные_ввод!G198</f>
        <v>789</v>
      </c>
      <c r="I198" s="11" t="str">
        <f aca="false">IF(H198&lt;=Нормативы!$C$4,"норма","превышение")</f>
        <v>норма</v>
      </c>
      <c r="J198" s="11" t="str">
        <f aca="false">IF(AND(E198="норма",G198="норма",I198="норма"),"Проба соответствует","Проба не соответствует")</f>
        <v>Проба соответствует</v>
      </c>
    </row>
    <row r="199" customFormat="false" ht="15" hidden="false" customHeight="false" outlineLevel="0" collapsed="false">
      <c r="A199" s="9" t="str">
        <f aca="false">Данные_ввод!A199</f>
        <v>2026-03-13</v>
      </c>
      <c r="B199" s="9" t="str">
        <f aca="false">Данные_ввод!B199</f>
        <v>S-0198</v>
      </c>
      <c r="C199" s="9" t="str">
        <f aca="false">Данные_ввод!C199</f>
        <v>Точка-2 (резервуар)</v>
      </c>
      <c r="D199" s="10" t="n">
        <f aca="false">(Данные_ввод!D199-Градуировка_Fe!$B$4)/Градуировка_Fe!$B$3</f>
        <v>0.304908634897886</v>
      </c>
      <c r="E199" s="11" t="str">
        <f aca="false">IF(D199&lt;=Нормативы!$C$2,"норма","превышение")</f>
        <v>превышение</v>
      </c>
      <c r="F199" s="12" t="n">
        <f aca="false">Данные_ввод!E199</f>
        <v>6.76</v>
      </c>
      <c r="G199" s="11" t="str">
        <f aca="false">IF(AND(F199&gt;=Нормативы!$B$3,F199&lt;=Нормативы!$C$3),"норма","превышение")</f>
        <v>норма</v>
      </c>
      <c r="H199" s="13" t="n">
        <f aca="false">Данные_ввод!G199</f>
        <v>674</v>
      </c>
      <c r="I199" s="11" t="str">
        <f aca="false">IF(H199&lt;=Нормативы!$C$4,"норма","превышение")</f>
        <v>норма</v>
      </c>
      <c r="J199" s="11" t="str">
        <f aca="false">IF(AND(E199="норма",G199="норма",I199="норма"),"Проба соответствует","Проба не соответствует")</f>
        <v>Проба не соответствует</v>
      </c>
    </row>
    <row r="200" customFormat="false" ht="15" hidden="false" customHeight="false" outlineLevel="0" collapsed="false">
      <c r="A200" s="9" t="str">
        <f aca="false">Данные_ввод!A200</f>
        <v>2026-03-13</v>
      </c>
      <c r="B200" s="9" t="str">
        <f aca="false">Данные_ввод!B200</f>
        <v>S-0199</v>
      </c>
      <c r="C200" s="9" t="str">
        <f aca="false">Данные_ввод!C200</f>
        <v>Точка-3 (сброс)</v>
      </c>
      <c r="D200" s="10" t="n">
        <f aca="false">(Данные_ввод!D200-Градуировка_Fe!$B$4)/Градуировка_Fe!$B$3</f>
        <v>0.236952107966081</v>
      </c>
      <c r="E200" s="11" t="str">
        <f aca="false">IF(D200&lt;=Нормативы!$C$2,"норма","превышение")</f>
        <v>норма</v>
      </c>
      <c r="F200" s="12" t="n">
        <f aca="false">Данные_ввод!E200</f>
        <v>7.38</v>
      </c>
      <c r="G200" s="11" t="str">
        <f aca="false">IF(AND(F200&gt;=Нормативы!$B$3,F200&lt;=Нормативы!$C$3),"норма","превышение")</f>
        <v>норма</v>
      </c>
      <c r="H200" s="13" t="n">
        <f aca="false">Данные_ввод!G200</f>
        <v>609</v>
      </c>
      <c r="I200" s="11" t="str">
        <f aca="false">IF(H200&lt;=Нормативы!$C$4,"норма","превышение")</f>
        <v>норма</v>
      </c>
      <c r="J200" s="11" t="str">
        <f aca="false">IF(AND(E200="норма",G200="норма",I200="норма"),"Проба соответствует","Проба не соответствует")</f>
        <v>Проба соответствует</v>
      </c>
    </row>
    <row r="201" customFormat="false" ht="15" hidden="false" customHeight="false" outlineLevel="0" collapsed="false">
      <c r="A201" s="9" t="str">
        <f aca="false">Данные_ввод!A201</f>
        <v>2026-03-13</v>
      </c>
      <c r="B201" s="9" t="str">
        <f aca="false">Данные_ввод!B201</f>
        <v>S-0200</v>
      </c>
      <c r="C201" s="9" t="str">
        <f aca="false">Данные_ввод!C201</f>
        <v>Точка-2 (резервуар)</v>
      </c>
      <c r="D201" s="10" t="n">
        <f aca="false">(Данные_ввод!D201-Градуировка_Fe!$B$4)/Градуировка_Fe!$B$3</f>
        <v>0.0781082049444643</v>
      </c>
      <c r="E201" s="11" t="str">
        <f aca="false">IF(D201&lt;=Нормативы!$C$2,"норма","превышение")</f>
        <v>норма</v>
      </c>
      <c r="F201" s="12" t="n">
        <f aca="false">Данные_ввод!E201</f>
        <v>6.35</v>
      </c>
      <c r="G201" s="11" t="str">
        <f aca="false">IF(AND(F201&gt;=Нормативы!$B$3,F201&lt;=Нормативы!$C$3),"норма","превышение")</f>
        <v>норма</v>
      </c>
      <c r="H201" s="13" t="n">
        <f aca="false">Данные_ввод!G201</f>
        <v>372</v>
      </c>
      <c r="I201" s="11" t="str">
        <f aca="false">IF(H201&lt;=Нормативы!$C$4,"норма","превышение")</f>
        <v>норма</v>
      </c>
      <c r="J201" s="11" t="str">
        <f aca="false">IF(AND(E201="норма",G201="норма",I201="норма"),"Проба соответствует","Проба не соответствует")</f>
        <v>Проба соответствует</v>
      </c>
    </row>
    <row r="202" customFormat="false" ht="15" hidden="false" customHeight="false" outlineLevel="0" collapsed="false">
      <c r="A202" s="9" t="str">
        <f aca="false">Данные_ввод!A202</f>
        <v>2026-03-16</v>
      </c>
      <c r="B202" s="9" t="str">
        <f aca="false">Данные_ввод!B202</f>
        <v>S-0201</v>
      </c>
      <c r="C202" s="9" t="str">
        <f aca="false">Данные_ввод!C202</f>
        <v>Точка-2 (резервуар)</v>
      </c>
      <c r="D202" s="10" t="n">
        <f aca="false">(Данные_ввод!D202-Градуировка_Fe!$B$4)/Градуировка_Fe!$B$3</f>
        <v>0.255822285919025</v>
      </c>
      <c r="E202" s="11" t="str">
        <f aca="false">IF(D202&lt;=Нормативы!$C$2,"норма","превышение")</f>
        <v>норма</v>
      </c>
      <c r="F202" s="12" t="n">
        <f aca="false">Данные_ввод!E202</f>
        <v>6.86</v>
      </c>
      <c r="G202" s="11" t="str">
        <f aca="false">IF(AND(F202&gt;=Нормативы!$B$3,F202&lt;=Нормативы!$C$3),"норма","превышение")</f>
        <v>норма</v>
      </c>
      <c r="H202" s="13" t="n">
        <f aca="false">Данные_ввод!G202</f>
        <v>545</v>
      </c>
      <c r="I202" s="11" t="str">
        <f aca="false">IF(H202&lt;=Нормативы!$C$4,"норма","превышение")</f>
        <v>норма</v>
      </c>
      <c r="J202" s="11" t="str">
        <f aca="false">IF(AND(E202="норма",G202="норма",I202="норма"),"Проба соответствует","Проба не соответствует")</f>
        <v>Проба соответствует</v>
      </c>
    </row>
    <row r="203" customFormat="false" ht="15" hidden="false" customHeight="false" outlineLevel="0" collapsed="false">
      <c r="A203" s="9" t="str">
        <f aca="false">Данные_ввод!A203</f>
        <v>2026-03-16</v>
      </c>
      <c r="B203" s="9" t="str">
        <f aca="false">Данные_ввод!B203</f>
        <v>S-0202</v>
      </c>
      <c r="C203" s="9" t="str">
        <f aca="false">Данные_ввод!C203</f>
        <v>Точка-2 (резервуар)</v>
      </c>
      <c r="D203" s="10" t="n">
        <f aca="false">(Данные_ввод!D203-Градуировка_Fe!$B$4)/Градуировка_Fe!$B$3</f>
        <v>0.389107846649946</v>
      </c>
      <c r="E203" s="11" t="str">
        <f aca="false">IF(D203&lt;=Нормативы!$C$2,"норма","превышение")</f>
        <v>превышение</v>
      </c>
      <c r="F203" s="12" t="n">
        <f aca="false">Данные_ввод!E203</f>
        <v>6.54</v>
      </c>
      <c r="G203" s="11" t="str">
        <f aca="false">IF(AND(F203&gt;=Нормативы!$B$3,F203&lt;=Нормативы!$C$3),"норма","превышение")</f>
        <v>норма</v>
      </c>
      <c r="H203" s="13" t="n">
        <f aca="false">Данные_ввод!G203</f>
        <v>412</v>
      </c>
      <c r="I203" s="11" t="str">
        <f aca="false">IF(H203&lt;=Нормативы!$C$4,"норма","превышение")</f>
        <v>норма</v>
      </c>
      <c r="J203" s="11" t="str">
        <f aca="false">IF(AND(E203="норма",G203="норма",I203="норма"),"Проба соответствует","Проба не соответствует")</f>
        <v>Проба не соответствует</v>
      </c>
    </row>
    <row r="204" customFormat="false" ht="15" hidden="false" customHeight="false" outlineLevel="0" collapsed="false">
      <c r="A204" s="9" t="str">
        <f aca="false">Данные_ввод!A204</f>
        <v>2026-03-16</v>
      </c>
      <c r="B204" s="9" t="str">
        <f aca="false">Данные_ввод!B204</f>
        <v>S-0203</v>
      </c>
      <c r="C204" s="9" t="str">
        <f aca="false">Данные_ввод!C204</f>
        <v>Точка-2 (резервуар)</v>
      </c>
      <c r="D204" s="10" t="n">
        <f aca="false">(Данные_ввод!D204-Градуировка_Fe!$B$4)/Градуировка_Fe!$B$3</f>
        <v>0.282097217245909</v>
      </c>
      <c r="E204" s="11" t="str">
        <f aca="false">IF(D204&lt;=Нормативы!$C$2,"норма","превышение")</f>
        <v>норма</v>
      </c>
      <c r="F204" s="12" t="n">
        <f aca="false">Данные_ввод!E204</f>
        <v>8.51</v>
      </c>
      <c r="G204" s="11" t="str">
        <f aca="false">IF(AND(F204&gt;=Нормативы!$B$3,F204&lt;=Нормативы!$C$3),"норма","превышение")</f>
        <v>норма</v>
      </c>
      <c r="H204" s="13" t="n">
        <f aca="false">Данные_ввод!G204</f>
        <v>795</v>
      </c>
      <c r="I204" s="11" t="str">
        <f aca="false">IF(H204&lt;=Нормативы!$C$4,"норма","превышение")</f>
        <v>норма</v>
      </c>
      <c r="J204" s="11" t="str">
        <f aca="false">IF(AND(E204="норма",G204="норма",I204="норма"),"Проба соответствует","Проба не соответствует")</f>
        <v>Проба соответствует</v>
      </c>
    </row>
    <row r="205" customFormat="false" ht="15" hidden="false" customHeight="false" outlineLevel="0" collapsed="false">
      <c r="A205" s="9" t="str">
        <f aca="false">Данные_ввод!A205</f>
        <v>2026-03-16</v>
      </c>
      <c r="B205" s="9" t="str">
        <f aca="false">Данные_ввод!B205</f>
        <v>S-0204</v>
      </c>
      <c r="C205" s="9" t="str">
        <f aca="false">Данные_ввод!C205</f>
        <v>Точка-2 (резервуар)</v>
      </c>
      <c r="D205" s="10" t="n">
        <f aca="false">(Данные_ввод!D205-Градуировка_Fe!$B$4)/Градуировка_Fe!$B$3</f>
        <v>0.378239579601099</v>
      </c>
      <c r="E205" s="11" t="str">
        <f aca="false">IF(D205&lt;=Нормативы!$C$2,"норма","превышение")</f>
        <v>превышение</v>
      </c>
      <c r="F205" s="12" t="n">
        <f aca="false">Данные_ввод!E205</f>
        <v>6.31</v>
      </c>
      <c r="G205" s="11" t="str">
        <f aca="false">IF(AND(F205&gt;=Нормативы!$B$3,F205&lt;=Нормативы!$C$3),"норма","превышение")</f>
        <v>норма</v>
      </c>
      <c r="H205" s="13" t="n">
        <f aca="false">Данные_ввод!G205</f>
        <v>456</v>
      </c>
      <c r="I205" s="11" t="str">
        <f aca="false">IF(H205&lt;=Нормативы!$C$4,"норма","превышение")</f>
        <v>норма</v>
      </c>
      <c r="J205" s="11" t="str">
        <f aca="false">IF(AND(E205="норма",G205="норма",I205="норма"),"Проба соответствует","Проба не соответствует")</f>
        <v>Проба не соответствует</v>
      </c>
    </row>
    <row r="206" customFormat="false" ht="15" hidden="false" customHeight="false" outlineLevel="0" collapsed="false">
      <c r="A206" s="9" t="str">
        <f aca="false">Данные_ввод!A206</f>
        <v>2026-03-17</v>
      </c>
      <c r="B206" s="9" t="str">
        <f aca="false">Данные_ввод!B206</f>
        <v>S-0205</v>
      </c>
      <c r="C206" s="9" t="str">
        <f aca="false">Данные_ввод!C206</f>
        <v>Точка-3 (сброс)</v>
      </c>
      <c r="D206" s="10" t="n">
        <f aca="false">(Данные_ввод!D206-Градуировка_Fe!$B$4)/Градуировка_Fe!$B$3</f>
        <v>0.305505792428043</v>
      </c>
      <c r="E206" s="11" t="str">
        <f aca="false">IF(D206&lt;=Нормативы!$C$2,"норма","превышение")</f>
        <v>превышение</v>
      </c>
      <c r="F206" s="12" t="n">
        <f aca="false">Данные_ввод!E206</f>
        <v>7.38</v>
      </c>
      <c r="G206" s="11" t="str">
        <f aca="false">IF(AND(F206&gt;=Нормативы!$B$3,F206&lt;=Нормативы!$C$3),"норма","превышение")</f>
        <v>норма</v>
      </c>
      <c r="H206" s="13" t="n">
        <f aca="false">Данные_ввод!G206</f>
        <v>653</v>
      </c>
      <c r="I206" s="11" t="str">
        <f aca="false">IF(H206&lt;=Нормативы!$C$4,"норма","превышение")</f>
        <v>норма</v>
      </c>
      <c r="J206" s="11" t="str">
        <f aca="false">IF(AND(E206="норма",G206="норма",I206="норма"),"Проба соответствует","Проба не соответствует")</f>
        <v>Проба не соответствует</v>
      </c>
    </row>
    <row r="207" customFormat="false" ht="15" hidden="false" customHeight="false" outlineLevel="0" collapsed="false">
      <c r="A207" s="9" t="str">
        <f aca="false">Данные_ввод!A207</f>
        <v>2026-03-17</v>
      </c>
      <c r="B207" s="9" t="str">
        <f aca="false">Данные_ввод!B207</f>
        <v>S-0206</v>
      </c>
      <c r="C207" s="9" t="str">
        <f aca="false">Данные_ввод!C207</f>
        <v>Точка-2 (резервуар)</v>
      </c>
      <c r="D207" s="10" t="n">
        <f aca="false">(Данные_ввод!D207-Градуировка_Fe!$B$4)/Градуировка_Fe!$B$3</f>
        <v>0.105935745849755</v>
      </c>
      <c r="E207" s="11" t="str">
        <f aca="false">IF(D207&lt;=Нормативы!$C$2,"норма","превышение")</f>
        <v>норма</v>
      </c>
      <c r="F207" s="12" t="n">
        <f aca="false">Данные_ввод!E207</f>
        <v>7.14</v>
      </c>
      <c r="G207" s="11" t="str">
        <f aca="false">IF(AND(F207&gt;=Нормативы!$B$3,F207&lt;=Нормативы!$C$3),"норма","превышение")</f>
        <v>норма</v>
      </c>
      <c r="H207" s="13" t="n">
        <f aca="false">Данные_ввод!G207</f>
        <v>654</v>
      </c>
      <c r="I207" s="11" t="str">
        <f aca="false">IF(H207&lt;=Нормативы!$C$4,"норма","превышение")</f>
        <v>норма</v>
      </c>
      <c r="J207" s="11" t="str">
        <f aca="false">IF(AND(E207="норма",G207="норма",I207="норма"),"Проба соответствует","Проба не соответствует")</f>
        <v>Проба соответствует</v>
      </c>
    </row>
    <row r="208" customFormat="false" ht="15" hidden="false" customHeight="false" outlineLevel="0" collapsed="false">
      <c r="A208" s="9" t="str">
        <f aca="false">Данные_ввод!A208</f>
        <v>2026-03-17</v>
      </c>
      <c r="B208" s="9" t="str">
        <f aca="false">Данные_ввод!B208</f>
        <v>S-0207</v>
      </c>
      <c r="C208" s="9" t="str">
        <f aca="false">Данные_ввод!C208</f>
        <v>Точка-2 (резервуар)</v>
      </c>
      <c r="D208" s="10" t="n">
        <f aca="false">(Данные_ввод!D208-Градуировка_Fe!$B$4)/Градуировка_Fe!$B$3</f>
        <v>0.291890600740475</v>
      </c>
      <c r="E208" s="11" t="str">
        <f aca="false">IF(D208&lt;=Нормативы!$C$2,"норма","превышение")</f>
        <v>норма</v>
      </c>
      <c r="F208" s="12" t="n">
        <f aca="false">Данные_ввод!E208</f>
        <v>6.66</v>
      </c>
      <c r="G208" s="11" t="str">
        <f aca="false">IF(AND(F208&gt;=Нормативы!$B$3,F208&lt;=Нормативы!$C$3),"норма","превышение")</f>
        <v>норма</v>
      </c>
      <c r="H208" s="13" t="n">
        <f aca="false">Данные_ввод!G208</f>
        <v>638</v>
      </c>
      <c r="I208" s="11" t="str">
        <f aca="false">IF(H208&lt;=Нормативы!$C$4,"норма","превышение")</f>
        <v>норма</v>
      </c>
      <c r="J208" s="11" t="str">
        <f aca="false">IF(AND(E208="норма",G208="норма",I208="норма"),"Проба соответствует","Проба не соответствует")</f>
        <v>Проба соответствует</v>
      </c>
    </row>
    <row r="209" customFormat="false" ht="15" hidden="false" customHeight="false" outlineLevel="0" collapsed="false">
      <c r="A209" s="9" t="str">
        <f aca="false">Данные_ввод!A209</f>
        <v>2026-03-17</v>
      </c>
      <c r="B209" s="9" t="str">
        <f aca="false">Данные_ввод!B209</f>
        <v>S-0208</v>
      </c>
      <c r="C209" s="9" t="str">
        <f aca="false">Данные_ввод!C209</f>
        <v>Точка-1 (скважина)</v>
      </c>
      <c r="D209" s="10" t="n">
        <f aca="false">(Данные_ввод!D209-Градуировка_Fe!$B$4)/Градуировка_Fe!$B$3</f>
        <v>0.0729726501851188</v>
      </c>
      <c r="E209" s="11" t="str">
        <f aca="false">IF(D209&lt;=Нормативы!$C$2,"норма","превышение")</f>
        <v>норма</v>
      </c>
      <c r="F209" s="12" t="n">
        <f aca="false">Данные_ввод!E209</f>
        <v>7.89</v>
      </c>
      <c r="G209" s="11" t="str">
        <f aca="false">IF(AND(F209&gt;=Нормативы!$B$3,F209&lt;=Нормативы!$C$3),"норма","превышение")</f>
        <v>норма</v>
      </c>
      <c r="H209" s="13" t="n">
        <f aca="false">Данные_ввод!G209</f>
        <v>533</v>
      </c>
      <c r="I209" s="11" t="str">
        <f aca="false">IF(H209&lt;=Нормативы!$C$4,"норма","превышение")</f>
        <v>норма</v>
      </c>
      <c r="J209" s="11" t="str">
        <f aca="false">IF(AND(E209="норма",G209="норма",I209="норма"),"Проба соответствует","Проба не соответствует")</f>
        <v>Проба соответствует</v>
      </c>
    </row>
    <row r="210" customFormat="false" ht="15" hidden="false" customHeight="false" outlineLevel="0" collapsed="false">
      <c r="A210" s="9" t="str">
        <f aca="false">Данные_ввод!A210</f>
        <v>2026-03-18</v>
      </c>
      <c r="B210" s="9" t="str">
        <f aca="false">Данные_ввод!B210</f>
        <v>S-0209</v>
      </c>
      <c r="C210" s="9" t="str">
        <f aca="false">Данные_ввод!C210</f>
        <v>Точка-1 (скважина)</v>
      </c>
      <c r="D210" s="10" t="n">
        <f aca="false">(Данные_ввод!D210-Градуировка_Fe!$B$4)/Градуировка_Fe!$B$3</f>
        <v>0.30156455272901</v>
      </c>
      <c r="E210" s="11" t="str">
        <f aca="false">IF(D210&lt;=Нормативы!$C$2,"норма","превышение")</f>
        <v>превышение</v>
      </c>
      <c r="F210" s="12" t="n">
        <f aca="false">Данные_ввод!E210</f>
        <v>7.25</v>
      </c>
      <c r="G210" s="11" t="str">
        <f aca="false">IF(AND(F210&gt;=Нормативы!$B$3,F210&lt;=Нормативы!$C$3),"норма","превышение")</f>
        <v>норма</v>
      </c>
      <c r="H210" s="13" t="n">
        <f aca="false">Данные_ввод!G210</f>
        <v>497</v>
      </c>
      <c r="I210" s="11" t="str">
        <f aca="false">IF(H210&lt;=Нормативы!$C$4,"норма","превышение")</f>
        <v>норма</v>
      </c>
      <c r="J210" s="11" t="str">
        <f aca="false">IF(AND(E210="норма",G210="норма",I210="норма"),"Проба соответствует","Проба не соответствует")</f>
        <v>Проба не соответствует</v>
      </c>
    </row>
    <row r="211" customFormat="false" ht="15" hidden="false" customHeight="false" outlineLevel="0" collapsed="false">
      <c r="A211" s="9" t="str">
        <f aca="false">Данные_ввод!A211</f>
        <v>2026-03-18</v>
      </c>
      <c r="B211" s="9" t="str">
        <f aca="false">Данные_ввод!B211</f>
        <v>S-0210</v>
      </c>
      <c r="C211" s="9" t="str">
        <f aca="false">Данные_ввод!C211</f>
        <v>Точка-2 (резервуар)</v>
      </c>
      <c r="D211" s="10" t="n">
        <f aca="false">(Данные_ввод!D211-Градуировка_Fe!$B$4)/Градуировка_Fe!$B$3</f>
        <v>0.239460169592739</v>
      </c>
      <c r="E211" s="11" t="str">
        <f aca="false">IF(D211&lt;=Нормативы!$C$2,"норма","превышение")</f>
        <v>норма</v>
      </c>
      <c r="F211" s="12" t="n">
        <f aca="false">Данные_ввод!E211</f>
        <v>7.1</v>
      </c>
      <c r="G211" s="11" t="str">
        <f aca="false">IF(AND(F211&gt;=Нормативы!$B$3,F211&lt;=Нормативы!$C$3),"норма","превышение")</f>
        <v>норма</v>
      </c>
      <c r="H211" s="13" t="n">
        <f aca="false">Данные_ввод!G211</f>
        <v>676</v>
      </c>
      <c r="I211" s="11" t="str">
        <f aca="false">IF(H211&lt;=Нормативы!$C$4,"норма","превышение")</f>
        <v>норма</v>
      </c>
      <c r="J211" s="11" t="str">
        <f aca="false">IF(AND(E211="норма",G211="норма",I211="норма"),"Проба соответствует","Проба не соответствует")</f>
        <v>Проба соответствует</v>
      </c>
    </row>
    <row r="212" customFormat="false" ht="15" hidden="false" customHeight="false" outlineLevel="0" collapsed="false">
      <c r="A212" s="9" t="str">
        <f aca="false">Данные_ввод!A212</f>
        <v>2026-03-18</v>
      </c>
      <c r="B212" s="9" t="str">
        <f aca="false">Данные_ввод!B212</f>
        <v>S-0211</v>
      </c>
      <c r="C212" s="9" t="str">
        <f aca="false">Данные_ввод!C212</f>
        <v>Точка-3 (сброс)</v>
      </c>
      <c r="D212" s="10" t="n">
        <f aca="false">(Данные_ввод!D212-Градуировка_Fe!$B$4)/Градуировка_Fe!$B$3</f>
        <v>0.195748238385286</v>
      </c>
      <c r="E212" s="11" t="str">
        <f aca="false">IF(D212&lt;=Нормативы!$C$2,"норма","превышение")</f>
        <v>норма</v>
      </c>
      <c r="F212" s="12" t="n">
        <f aca="false">Данные_ввод!E212</f>
        <v>6.96</v>
      </c>
      <c r="G212" s="11" t="str">
        <f aca="false">IF(AND(F212&gt;=Нормативы!$B$3,F212&lt;=Нормативы!$C$3),"норма","превышение")</f>
        <v>норма</v>
      </c>
      <c r="H212" s="13" t="n">
        <f aca="false">Данные_ввод!G212</f>
        <v>737</v>
      </c>
      <c r="I212" s="11" t="str">
        <f aca="false">IF(H212&lt;=Нормативы!$C$4,"норма","превышение")</f>
        <v>норма</v>
      </c>
      <c r="J212" s="11" t="str">
        <f aca="false">IF(AND(E212="норма",G212="норма",I212="норма"),"Проба соответствует","Проба не соответствует")</f>
        <v>Проба соответствует</v>
      </c>
    </row>
    <row r="213" customFormat="false" ht="15" hidden="false" customHeight="false" outlineLevel="0" collapsed="false">
      <c r="A213" s="9" t="str">
        <f aca="false">Данные_ввод!A213</f>
        <v>2026-03-18</v>
      </c>
      <c r="B213" s="9" t="str">
        <f aca="false">Данные_ввод!B213</f>
        <v>S-0212</v>
      </c>
      <c r="C213" s="9" t="str">
        <f aca="false">Данные_ввод!C213</f>
        <v>Точка-2 (резервуар)</v>
      </c>
      <c r="D213" s="10" t="n">
        <f aca="false">(Данные_ввод!D213-Градуировка_Fe!$B$4)/Градуировка_Fe!$B$3</f>
        <v>0.258688642063776</v>
      </c>
      <c r="E213" s="11" t="str">
        <f aca="false">IF(D213&lt;=Нормативы!$C$2,"норма","превышение")</f>
        <v>норма</v>
      </c>
      <c r="F213" s="12" t="n">
        <f aca="false">Данные_ввод!E213</f>
        <v>6.56</v>
      </c>
      <c r="G213" s="11" t="str">
        <f aca="false">IF(AND(F213&gt;=Нормативы!$B$3,F213&lt;=Нормативы!$C$3),"норма","превышение")</f>
        <v>норма</v>
      </c>
      <c r="H213" s="13" t="n">
        <f aca="false">Данные_ввод!G213</f>
        <v>810</v>
      </c>
      <c r="I213" s="11" t="str">
        <f aca="false">IF(H213&lt;=Нормативы!$C$4,"норма","превышение")</f>
        <v>норма</v>
      </c>
      <c r="J213" s="11" t="str">
        <f aca="false">IF(AND(E213="норма",G213="норма",I213="норма"),"Проба соответствует","Проба не соответствует")</f>
        <v>Проба соответствует</v>
      </c>
    </row>
    <row r="214" customFormat="false" ht="15" hidden="false" customHeight="false" outlineLevel="0" collapsed="false">
      <c r="A214" s="9" t="str">
        <f aca="false">Данные_ввод!A214</f>
        <v>2026-03-19</v>
      </c>
      <c r="B214" s="9" t="str">
        <f aca="false">Данные_ввод!B214</f>
        <v>S-0213</v>
      </c>
      <c r="C214" s="9" t="str">
        <f aca="false">Данные_ввод!C214</f>
        <v>Точка-1 (скважина)</v>
      </c>
      <c r="D214" s="10" t="n">
        <f aca="false">(Данные_ввод!D214-Градуировка_Fe!$B$4)/Градуировка_Fe!$B$3</f>
        <v>0.163262868744775</v>
      </c>
      <c r="E214" s="11" t="str">
        <f aca="false">IF(D214&lt;=Нормативы!$C$2,"норма","превышение")</f>
        <v>норма</v>
      </c>
      <c r="F214" s="12" t="n">
        <f aca="false">Данные_ввод!E214</f>
        <v>6.97</v>
      </c>
      <c r="G214" s="11" t="str">
        <f aca="false">IF(AND(F214&gt;=Нормативы!$B$3,F214&lt;=Нормативы!$C$3),"норма","превышение")</f>
        <v>норма</v>
      </c>
      <c r="H214" s="13" t="n">
        <f aca="false">Данные_ввод!G214</f>
        <v>689</v>
      </c>
      <c r="I214" s="11" t="str">
        <f aca="false">IF(H214&lt;=Нормативы!$C$4,"норма","превышение")</f>
        <v>норма</v>
      </c>
      <c r="J214" s="11" t="str">
        <f aca="false">IF(AND(E214="норма",G214="норма",I214="норма"),"Проба соответствует","Проба не соответствует")</f>
        <v>Проба соответствует</v>
      </c>
    </row>
    <row r="215" customFormat="false" ht="15" hidden="false" customHeight="false" outlineLevel="0" collapsed="false">
      <c r="A215" s="9" t="str">
        <f aca="false">Данные_ввод!A215</f>
        <v>2026-03-19</v>
      </c>
      <c r="B215" s="9" t="str">
        <f aca="false">Данные_ввод!B215</f>
        <v>S-0214</v>
      </c>
      <c r="C215" s="9" t="str">
        <f aca="false">Данные_ввод!C215</f>
        <v>Точка-1 (скважина)</v>
      </c>
      <c r="D215" s="10" t="n">
        <f aca="false">(Данные_ввод!D215-Градуировка_Fe!$B$4)/Градуировка_Fe!$B$3</f>
        <v>0.096858951391377</v>
      </c>
      <c r="E215" s="11" t="str">
        <f aca="false">IF(D215&lt;=Нормативы!$C$2,"норма","превышение")</f>
        <v>норма</v>
      </c>
      <c r="F215" s="12" t="n">
        <f aca="false">Данные_ввод!E215</f>
        <v>6.94</v>
      </c>
      <c r="G215" s="11" t="str">
        <f aca="false">IF(AND(F215&gt;=Нормативы!$B$3,F215&lt;=Нормативы!$C$3),"норма","превышение")</f>
        <v>норма</v>
      </c>
      <c r="H215" s="13" t="n">
        <f aca="false">Данные_ввод!G215</f>
        <v>948</v>
      </c>
      <c r="I215" s="11" t="str">
        <f aca="false">IF(H215&lt;=Нормативы!$C$4,"норма","превышение")</f>
        <v>норма</v>
      </c>
      <c r="J215" s="11" t="str">
        <f aca="false">IF(AND(E215="норма",G215="норма",I215="норма"),"Проба соответствует","Проба не соответствует")</f>
        <v>Проба соответствует</v>
      </c>
    </row>
    <row r="216" customFormat="false" ht="15" hidden="false" customHeight="false" outlineLevel="0" collapsed="false">
      <c r="A216" s="9" t="str">
        <f aca="false">Данные_ввод!A216</f>
        <v>2026-03-19</v>
      </c>
      <c r="B216" s="9" t="str">
        <f aca="false">Данные_ввод!B216</f>
        <v>S-0215</v>
      </c>
      <c r="C216" s="9" t="str">
        <f aca="false">Данные_ввод!C216</f>
        <v>Точка-1 (скважина)</v>
      </c>
      <c r="D216" s="10" t="n">
        <f aca="false">(Данные_ввод!D216-Градуировка_Fe!$B$4)/Градуировка_Fe!$B$3</f>
        <v>-0.00298578765078227</v>
      </c>
      <c r="E216" s="11" t="str">
        <f aca="false">IF(D216&lt;=Нормативы!$C$2,"норма","превышение")</f>
        <v>норма</v>
      </c>
      <c r="F216" s="12" t="n">
        <f aca="false">Данные_ввод!E216</f>
        <v>6.36</v>
      </c>
      <c r="G216" s="11" t="str">
        <f aca="false">IF(AND(F216&gt;=Нормативы!$B$3,F216&lt;=Нормативы!$C$3),"норма","превышение")</f>
        <v>норма</v>
      </c>
      <c r="H216" s="13" t="n">
        <f aca="false">Данные_ввод!G216</f>
        <v>598</v>
      </c>
      <c r="I216" s="11" t="str">
        <f aca="false">IF(H216&lt;=Нормативы!$C$4,"норма","превышение")</f>
        <v>норма</v>
      </c>
      <c r="J216" s="11" t="str">
        <f aca="false">IF(AND(E216="норма",G216="норма",I216="норма"),"Проба соответствует","Проба не соответствует")</f>
        <v>Проба соответствует</v>
      </c>
    </row>
    <row r="217" customFormat="false" ht="15" hidden="false" customHeight="false" outlineLevel="0" collapsed="false">
      <c r="A217" s="9" t="str">
        <f aca="false">Данные_ввод!A217</f>
        <v>2026-03-19</v>
      </c>
      <c r="B217" s="9" t="str">
        <f aca="false">Данные_ввод!B217</f>
        <v>S-0216</v>
      </c>
      <c r="C217" s="9" t="str">
        <f aca="false">Данные_ввод!C217</f>
        <v>Точка-1 (скважина)</v>
      </c>
      <c r="D217" s="10" t="n">
        <f aca="false">(Данные_ввод!D217-Градуировка_Fe!$B$4)/Градуировка_Fe!$B$3</f>
        <v>0.199689478084319</v>
      </c>
      <c r="E217" s="11" t="str">
        <f aca="false">IF(D217&lt;=Нормативы!$C$2,"норма","превышение")</f>
        <v>норма</v>
      </c>
      <c r="F217" s="12" t="n">
        <f aca="false">Данные_ввод!E217</f>
        <v>8.17</v>
      </c>
      <c r="G217" s="11" t="str">
        <f aca="false">IF(AND(F217&gt;=Нормативы!$B$3,F217&lt;=Нормативы!$C$3),"норма","превышение")</f>
        <v>норма</v>
      </c>
      <c r="H217" s="13" t="n">
        <f aca="false">Данные_ввод!G217</f>
        <v>739</v>
      </c>
      <c r="I217" s="11" t="str">
        <f aca="false">IF(H217&lt;=Нормативы!$C$4,"норма","превышение")</f>
        <v>норма</v>
      </c>
      <c r="J217" s="11" t="str">
        <f aca="false">IF(AND(E217="норма",G217="норма",I217="норма"),"Проба соответствует","Проба не соответствует")</f>
        <v>Проба соответствует</v>
      </c>
    </row>
    <row r="218" customFormat="false" ht="15" hidden="false" customHeight="false" outlineLevel="0" collapsed="false">
      <c r="A218" s="9" t="str">
        <f aca="false">Данные_ввод!A218</f>
        <v>2026-03-20</v>
      </c>
      <c r="B218" s="9" t="str">
        <f aca="false">Данные_ввод!B218</f>
        <v>S-0217</v>
      </c>
      <c r="C218" s="9" t="str">
        <f aca="false">Данные_ввод!C218</f>
        <v>Точка-2 (резервуар)</v>
      </c>
      <c r="D218" s="10" t="n">
        <f aca="false">(Данные_ввод!D218-Градуировка_Fe!$B$4)/Градуировка_Fe!$B$3</f>
        <v>0.129941478562045</v>
      </c>
      <c r="E218" s="11" t="str">
        <f aca="false">IF(D218&lt;=Нормативы!$C$2,"норма","превышение")</f>
        <v>норма</v>
      </c>
      <c r="F218" s="12" t="n">
        <f aca="false">Данные_ввод!E218</f>
        <v>7.81</v>
      </c>
      <c r="G218" s="11" t="str">
        <f aca="false">IF(AND(F218&gt;=Нормативы!$B$3,F218&lt;=Нормативы!$C$3),"норма","превышение")</f>
        <v>норма</v>
      </c>
      <c r="H218" s="13" t="n">
        <f aca="false">Данные_ввод!G218</f>
        <v>590</v>
      </c>
      <c r="I218" s="11" t="str">
        <f aca="false">IF(H218&lt;=Нормативы!$C$4,"норма","превышение")</f>
        <v>норма</v>
      </c>
      <c r="J218" s="11" t="str">
        <f aca="false">IF(AND(E218="норма",G218="норма",I218="норма"),"Проба соответствует","Проба не соответствует")</f>
        <v>Проба соответствует</v>
      </c>
    </row>
    <row r="219" customFormat="false" ht="15" hidden="false" customHeight="false" outlineLevel="0" collapsed="false">
      <c r="A219" s="9" t="str">
        <f aca="false">Данные_ввод!A219</f>
        <v>2026-03-20</v>
      </c>
      <c r="B219" s="9" t="str">
        <f aca="false">Данные_ввод!B219</f>
        <v>S-0218</v>
      </c>
      <c r="C219" s="9" t="str">
        <f aca="false">Данные_ввод!C219</f>
        <v>Точка-1 (скважина)</v>
      </c>
      <c r="D219" s="10" t="n">
        <f aca="false">(Данные_ввод!D219-Градуировка_Fe!$B$4)/Градуировка_Fe!$B$3</f>
        <v>0.00429953421712648</v>
      </c>
      <c r="E219" s="11" t="str">
        <f aca="false">IF(D219&lt;=Нормативы!$C$2,"норма","превышение")</f>
        <v>норма</v>
      </c>
      <c r="F219" s="12" t="n">
        <f aca="false">Данные_ввод!E219</f>
        <v>6.27</v>
      </c>
      <c r="G219" s="11" t="str">
        <f aca="false">IF(AND(F219&gt;=Нормативы!$B$3,F219&lt;=Нормативы!$C$3),"норма","превышение")</f>
        <v>норма</v>
      </c>
      <c r="H219" s="13" t="n">
        <f aca="false">Данные_ввод!G219</f>
        <v>659</v>
      </c>
      <c r="I219" s="11" t="str">
        <f aca="false">IF(H219&lt;=Нормативы!$C$4,"норма","превышение")</f>
        <v>норма</v>
      </c>
      <c r="J219" s="11" t="str">
        <f aca="false">IF(AND(E219="норма",G219="норма",I219="норма"),"Проба соответствует","Проба не соответствует")</f>
        <v>Проба соответствует</v>
      </c>
    </row>
    <row r="220" customFormat="false" ht="15" hidden="false" customHeight="false" outlineLevel="0" collapsed="false">
      <c r="A220" s="9" t="str">
        <f aca="false">Данные_ввод!A220</f>
        <v>2026-03-20</v>
      </c>
      <c r="B220" s="9" t="str">
        <f aca="false">Данные_ввод!B220</f>
        <v>S-0219</v>
      </c>
      <c r="C220" s="9" t="str">
        <f aca="false">Данные_ввод!C220</f>
        <v>Точка-1 (скважина)</v>
      </c>
      <c r="D220" s="10" t="n">
        <f aca="false">(Данные_ввод!D220-Градуировка_Fe!$B$4)/Градуировка_Fe!$B$3</f>
        <v>0.195031649349098</v>
      </c>
      <c r="E220" s="11" t="str">
        <f aca="false">IF(D220&lt;=Нормативы!$C$2,"норма","превышение")</f>
        <v>норма</v>
      </c>
      <c r="F220" s="12" t="n">
        <f aca="false">Данные_ввод!E220</f>
        <v>7.34</v>
      </c>
      <c r="G220" s="11" t="str">
        <f aca="false">IF(AND(F220&gt;=Нормативы!$B$3,F220&lt;=Нормативы!$C$3),"норма","превышение")</f>
        <v>норма</v>
      </c>
      <c r="H220" s="13" t="n">
        <f aca="false">Данные_ввод!G220</f>
        <v>681</v>
      </c>
      <c r="I220" s="11" t="str">
        <f aca="false">IF(H220&lt;=Нормативы!$C$4,"норма","превышение")</f>
        <v>норма</v>
      </c>
      <c r="J220" s="11" t="str">
        <f aca="false">IF(AND(E220="норма",G220="норма",I220="норма"),"Проба соответствует","Проба не соответствует")</f>
        <v>Проба соответствует</v>
      </c>
    </row>
    <row r="221" customFormat="false" ht="15" hidden="false" customHeight="false" outlineLevel="0" collapsed="false">
      <c r="A221" s="9" t="str">
        <f aca="false">Данные_ввод!A221</f>
        <v>2026-03-20</v>
      </c>
      <c r="B221" s="9" t="str">
        <f aca="false">Данные_ввод!B221</f>
        <v>S-0220</v>
      </c>
      <c r="C221" s="9" t="str">
        <f aca="false">Данные_ввод!C221</f>
        <v>Точка-3 (сброс)</v>
      </c>
      <c r="D221" s="10" t="n">
        <f aca="false">(Данные_ввод!D221-Градуировка_Fe!$B$4)/Градуировка_Fe!$B$3</f>
        <v>0.332258449779052</v>
      </c>
      <c r="E221" s="11" t="str">
        <f aca="false">IF(D221&lt;=Нормативы!$C$2,"норма","превышение")</f>
        <v>превышение</v>
      </c>
      <c r="F221" s="12" t="n">
        <f aca="false">Данные_ввод!E221</f>
        <v>7.84</v>
      </c>
      <c r="G221" s="11" t="str">
        <f aca="false">IF(AND(F221&gt;=Нормативы!$B$3,F221&lt;=Нормативы!$C$3),"норма","превышение")</f>
        <v>норма</v>
      </c>
      <c r="H221" s="13" t="n">
        <f aca="false">Данные_ввод!G221</f>
        <v>728</v>
      </c>
      <c r="I221" s="11" t="str">
        <f aca="false">IF(H221&lt;=Нормативы!$C$4,"норма","превышение")</f>
        <v>норма</v>
      </c>
      <c r="J221" s="11" t="str">
        <f aca="false">IF(AND(E221="норма",G221="норма",I221="норма"),"Проба соответствует","Проба не соответствует")</f>
        <v>Проба не соответствует</v>
      </c>
    </row>
    <row r="222" customFormat="false" ht="15" hidden="false" customHeight="false" outlineLevel="0" collapsed="false">
      <c r="A222" s="9" t="str">
        <f aca="false">Данные_ввод!A222</f>
        <v>2026-03-23</v>
      </c>
      <c r="B222" s="9" t="str">
        <f aca="false">Данные_ввод!B222</f>
        <v>S-0221</v>
      </c>
      <c r="C222" s="9" t="str">
        <f aca="false">Данные_ввод!C222</f>
        <v>Точка-2 (резервуар)</v>
      </c>
      <c r="D222" s="10" t="n">
        <f aca="false">(Данные_ввод!D222-Градуировка_Fe!$B$4)/Градуировка_Fe!$B$3</f>
        <v>0.211632628687448</v>
      </c>
      <c r="E222" s="11" t="str">
        <f aca="false">IF(D222&lt;=Нормативы!$C$2,"норма","превышение")</f>
        <v>норма</v>
      </c>
      <c r="F222" s="12" t="n">
        <f aca="false">Данные_ввод!E222</f>
        <v>6.8</v>
      </c>
      <c r="G222" s="11" t="str">
        <f aca="false">IF(AND(F222&gt;=Нормативы!$B$3,F222&lt;=Нормативы!$C$3),"норма","превышение")</f>
        <v>норма</v>
      </c>
      <c r="H222" s="13" t="n">
        <f aca="false">Данные_ввод!G222</f>
        <v>585</v>
      </c>
      <c r="I222" s="11" t="str">
        <f aca="false">IF(H222&lt;=Нормативы!$C$4,"норма","превышение")</f>
        <v>норма</v>
      </c>
      <c r="J222" s="11" t="str">
        <f aca="false">IF(AND(E222="норма",G222="норма",I222="норма"),"Проба соответствует","Проба не соответствует")</f>
        <v>Проба соответствует</v>
      </c>
    </row>
    <row r="223" customFormat="false" ht="15" hidden="false" customHeight="false" outlineLevel="0" collapsed="false">
      <c r="A223" s="9" t="str">
        <f aca="false">Данные_ввод!A223</f>
        <v>2026-03-23</v>
      </c>
      <c r="B223" s="9" t="str">
        <f aca="false">Данные_ввод!B223</f>
        <v>S-0222</v>
      </c>
      <c r="C223" s="9" t="str">
        <f aca="false">Данные_ввод!C223</f>
        <v>Точка-2 (резервуар)</v>
      </c>
      <c r="D223" s="10" t="n">
        <f aca="false">(Данные_ввод!D223-Градуировка_Fe!$B$4)/Градуировка_Fe!$B$3</f>
        <v>0.0962617938612206</v>
      </c>
      <c r="E223" s="11" t="str">
        <f aca="false">IF(D223&lt;=Нормативы!$C$2,"норма","превышение")</f>
        <v>норма</v>
      </c>
      <c r="F223" s="12" t="n">
        <f aca="false">Данные_ввод!E223</f>
        <v>6.47</v>
      </c>
      <c r="G223" s="11" t="str">
        <f aca="false">IF(AND(F223&gt;=Нормативы!$B$3,F223&lt;=Нормативы!$C$3),"норма","превышение")</f>
        <v>норма</v>
      </c>
      <c r="H223" s="13" t="n">
        <f aca="false">Данные_ввод!G223</f>
        <v>886</v>
      </c>
      <c r="I223" s="11" t="str">
        <f aca="false">IF(H223&lt;=Нормативы!$C$4,"норма","превышение")</f>
        <v>норма</v>
      </c>
      <c r="J223" s="11" t="str">
        <f aca="false">IF(AND(E223="норма",G223="норма",I223="норма"),"Проба соответствует","Проба не соответствует")</f>
        <v>Проба соответствует</v>
      </c>
    </row>
    <row r="224" customFormat="false" ht="15" hidden="false" customHeight="false" outlineLevel="0" collapsed="false">
      <c r="A224" s="9" t="str">
        <f aca="false">Данные_ввод!A224</f>
        <v>2026-03-23</v>
      </c>
      <c r="B224" s="9" t="str">
        <f aca="false">Данные_ввод!B224</f>
        <v>S-0223</v>
      </c>
      <c r="C224" s="9" t="str">
        <f aca="false">Данные_ввод!C224</f>
        <v>Точка-3 (сброс)</v>
      </c>
      <c r="D224" s="10" t="n">
        <f aca="false">(Данные_ввод!D224-Градуировка_Fe!$B$4)/Градуировка_Fe!$B$3</f>
        <v>0.0674788009076795</v>
      </c>
      <c r="E224" s="11" t="str">
        <f aca="false">IF(D224&lt;=Нормативы!$C$2,"норма","превышение")</f>
        <v>норма</v>
      </c>
      <c r="F224" s="12" t="n">
        <f aca="false">Данные_ввод!E224</f>
        <v>7.43</v>
      </c>
      <c r="G224" s="11" t="str">
        <f aca="false">IF(AND(F224&gt;=Нормативы!$B$3,F224&lt;=Нормативы!$C$3),"норма","превышение")</f>
        <v>норма</v>
      </c>
      <c r="H224" s="13" t="n">
        <f aca="false">Данные_ввод!G224</f>
        <v>455</v>
      </c>
      <c r="I224" s="11" t="str">
        <f aca="false">IF(H224&lt;=Нормативы!$C$4,"норма","превышение")</f>
        <v>норма</v>
      </c>
      <c r="J224" s="11" t="str">
        <f aca="false">IF(AND(E224="норма",G224="норма",I224="норма"),"Проба соответствует","Проба не соответствует")</f>
        <v>Проба соответствует</v>
      </c>
    </row>
    <row r="225" customFormat="false" ht="15" hidden="false" customHeight="false" outlineLevel="0" collapsed="false">
      <c r="A225" s="9" t="str">
        <f aca="false">Данные_ввод!A225</f>
        <v>2026-03-23</v>
      </c>
      <c r="B225" s="9" t="str">
        <f aca="false">Данные_ввод!B225</f>
        <v>S-0224</v>
      </c>
      <c r="C225" s="9" t="str">
        <f aca="false">Данные_ввод!C225</f>
        <v>Точка-3 (сброс)</v>
      </c>
      <c r="D225" s="10" t="n">
        <f aca="false">(Данные_ввод!D225-Градуировка_Fe!$B$4)/Градуировка_Fe!$B$3</f>
        <v>0.231099964170548</v>
      </c>
      <c r="E225" s="11" t="str">
        <f aca="false">IF(D225&lt;=Нормативы!$C$2,"норма","превышение")</f>
        <v>норма</v>
      </c>
      <c r="F225" s="12" t="n">
        <f aca="false">Данные_ввод!E225</f>
        <v>6.57</v>
      </c>
      <c r="G225" s="11" t="str">
        <f aca="false">IF(AND(F225&gt;=Нормативы!$B$3,F225&lt;=Нормативы!$C$3),"норма","превышение")</f>
        <v>норма</v>
      </c>
      <c r="H225" s="13" t="n">
        <f aca="false">Данные_ввод!G225</f>
        <v>672</v>
      </c>
      <c r="I225" s="11" t="str">
        <f aca="false">IF(H225&lt;=Нормативы!$C$4,"норма","превышение")</f>
        <v>норма</v>
      </c>
      <c r="J225" s="11" t="str">
        <f aca="false">IF(AND(E225="норма",G225="норма",I225="норма"),"Проба соответствует","Проба не соответствует")</f>
        <v>Проба соответствует</v>
      </c>
    </row>
    <row r="226" customFormat="false" ht="15" hidden="false" customHeight="false" outlineLevel="0" collapsed="false">
      <c r="A226" s="9" t="str">
        <f aca="false">Данные_ввод!A226</f>
        <v>2026-03-24</v>
      </c>
      <c r="B226" s="9" t="str">
        <f aca="false">Данные_ввод!B226</f>
        <v>S-0225</v>
      </c>
      <c r="C226" s="9" t="str">
        <f aca="false">Данные_ввод!C226</f>
        <v>Точка-1 (скважина)</v>
      </c>
      <c r="D226" s="10" t="n">
        <f aca="false">(Данные_ввод!D226-Градуировка_Fe!$B$4)/Градуировка_Fe!$B$3</f>
        <v>0.16648751940762</v>
      </c>
      <c r="E226" s="11" t="str">
        <f aca="false">IF(D226&lt;=Нормативы!$C$2,"норма","превышение")</f>
        <v>норма</v>
      </c>
      <c r="F226" s="12" t="n">
        <f aca="false">Данные_ввод!E226</f>
        <v>7.16</v>
      </c>
      <c r="G226" s="11" t="str">
        <f aca="false">IF(AND(F226&gt;=Нормативы!$B$3,F226&lt;=Нормативы!$C$3),"норма","превышение")</f>
        <v>норма</v>
      </c>
      <c r="H226" s="13" t="n">
        <f aca="false">Данные_ввод!G226</f>
        <v>767</v>
      </c>
      <c r="I226" s="11" t="str">
        <f aca="false">IF(H226&lt;=Нормативы!$C$4,"норма","превышение")</f>
        <v>норма</v>
      </c>
      <c r="J226" s="11" t="str">
        <f aca="false">IF(AND(E226="норма",G226="норма",I226="норма"),"Проба соответствует","Проба не соответствует")</f>
        <v>Проба соответствует</v>
      </c>
    </row>
    <row r="227" customFormat="false" ht="15" hidden="false" customHeight="false" outlineLevel="0" collapsed="false">
      <c r="A227" s="9" t="str">
        <f aca="false">Данные_ввод!A227</f>
        <v>2026-03-24</v>
      </c>
      <c r="B227" s="9" t="str">
        <f aca="false">Данные_ввод!B227</f>
        <v>S-0226</v>
      </c>
      <c r="C227" s="9" t="str">
        <f aca="false">Данные_ввод!C227</f>
        <v>Точка-1 (скважина)</v>
      </c>
      <c r="D227" s="10" t="n">
        <f aca="false">(Данные_ввод!D227-Градуировка_Fe!$B$4)/Градуировка_Fe!$B$3</f>
        <v>0.172936820733309</v>
      </c>
      <c r="E227" s="11" t="str">
        <f aca="false">IF(D227&lt;=Нормативы!$C$2,"норма","превышение")</f>
        <v>норма</v>
      </c>
      <c r="F227" s="12" t="n">
        <f aca="false">Данные_ввод!E227</f>
        <v>7.8</v>
      </c>
      <c r="G227" s="11" t="str">
        <f aca="false">IF(AND(F227&gt;=Нормативы!$B$3,F227&lt;=Нормативы!$C$3),"норма","превышение")</f>
        <v>норма</v>
      </c>
      <c r="H227" s="13" t="n">
        <f aca="false">Данные_ввод!G227</f>
        <v>634</v>
      </c>
      <c r="I227" s="11" t="str">
        <f aca="false">IF(H227&lt;=Нормативы!$C$4,"норма","превышение")</f>
        <v>норма</v>
      </c>
      <c r="J227" s="11" t="str">
        <f aca="false">IF(AND(E227="норма",G227="норма",I227="норма"),"Проба соответствует","Проба не соответствует")</f>
        <v>Проба соответствует</v>
      </c>
    </row>
    <row r="228" customFormat="false" ht="15" hidden="false" customHeight="false" outlineLevel="0" collapsed="false">
      <c r="A228" s="9" t="str">
        <f aca="false">Данные_ввод!A228</f>
        <v>2026-03-24</v>
      </c>
      <c r="B228" s="9" t="str">
        <f aca="false">Данные_ввод!B228</f>
        <v>S-0227</v>
      </c>
      <c r="C228" s="9" t="str">
        <f aca="false">Данные_ввод!C228</f>
        <v>Точка-2 (резервуар)</v>
      </c>
      <c r="D228" s="10" t="n">
        <f aca="false">(Данные_ввод!D228-Градуировка_Fe!$B$4)/Градуировка_Fe!$B$3</f>
        <v>0.23313029977308</v>
      </c>
      <c r="E228" s="11" t="str">
        <f aca="false">IF(D228&lt;=Нормативы!$C$2,"норма","превышение")</f>
        <v>норма</v>
      </c>
      <c r="F228" s="12" t="n">
        <f aca="false">Данные_ввод!E228</f>
        <v>7.34</v>
      </c>
      <c r="G228" s="11" t="str">
        <f aca="false">IF(AND(F228&gt;=Нормативы!$B$3,F228&lt;=Нормативы!$C$3),"норма","превышение")</f>
        <v>норма</v>
      </c>
      <c r="H228" s="13" t="n">
        <f aca="false">Данные_ввод!G228</f>
        <v>588</v>
      </c>
      <c r="I228" s="11" t="str">
        <f aca="false">IF(H228&lt;=Нормативы!$C$4,"норма","превышение")</f>
        <v>норма</v>
      </c>
      <c r="J228" s="11" t="str">
        <f aca="false">IF(AND(E228="норма",G228="норма",I228="норма"),"Проба соответствует","Проба не соответствует")</f>
        <v>Проба соответствует</v>
      </c>
    </row>
    <row r="229" customFormat="false" ht="15" hidden="false" customHeight="false" outlineLevel="0" collapsed="false">
      <c r="A229" s="9" t="str">
        <f aca="false">Данные_ввод!A229</f>
        <v>2026-03-24</v>
      </c>
      <c r="B229" s="9" t="str">
        <f aca="false">Данные_ввод!B229</f>
        <v>S-0228</v>
      </c>
      <c r="C229" s="9" t="str">
        <f aca="false">Данные_ввод!C229</f>
        <v>Точка-2 (резервуар)</v>
      </c>
      <c r="D229" s="10" t="n">
        <f aca="false">(Данные_ввод!D229-Градуировка_Fe!$B$4)/Градуировка_Fe!$B$3</f>
        <v>0.114295951271946</v>
      </c>
      <c r="E229" s="11" t="str">
        <f aca="false">IF(D229&lt;=Нормативы!$C$2,"норма","превышение")</f>
        <v>норма</v>
      </c>
      <c r="F229" s="12" t="n">
        <f aca="false">Данные_ввод!E229</f>
        <v>6.23</v>
      </c>
      <c r="G229" s="11" t="str">
        <f aca="false">IF(AND(F229&gt;=Нормативы!$B$3,F229&lt;=Нормативы!$C$3),"норма","превышение")</f>
        <v>норма</v>
      </c>
      <c r="H229" s="13" t="n">
        <f aca="false">Данные_ввод!G229</f>
        <v>579</v>
      </c>
      <c r="I229" s="11" t="str">
        <f aca="false">IF(H229&lt;=Нормативы!$C$4,"норма","превышение")</f>
        <v>норма</v>
      </c>
      <c r="J229" s="11" t="str">
        <f aca="false">IF(AND(E229="норма",G229="норма",I229="норма"),"Проба соответствует","Проба не соответствует")</f>
        <v>Проба соответствует</v>
      </c>
    </row>
    <row r="230" customFormat="false" ht="15" hidden="false" customHeight="false" outlineLevel="0" collapsed="false">
      <c r="A230" s="9" t="str">
        <f aca="false">Данные_ввод!A230</f>
        <v>2026-03-25</v>
      </c>
      <c r="B230" s="9" t="str">
        <f aca="false">Данные_ввод!B230</f>
        <v>S-0229</v>
      </c>
      <c r="C230" s="9" t="str">
        <f aca="false">Данные_ввод!C230</f>
        <v>Точка-2 (резервуар)</v>
      </c>
      <c r="D230" s="10" t="n">
        <f aca="false">(Данные_ввод!D230-Градуировка_Fe!$B$4)/Градуировка_Fe!$B$3</f>
        <v>0.21366296428998</v>
      </c>
      <c r="E230" s="11" t="str">
        <f aca="false">IF(D230&lt;=Нормативы!$C$2,"норма","превышение")</f>
        <v>норма</v>
      </c>
      <c r="F230" s="12" t="n">
        <f aca="false">Данные_ввод!E230</f>
        <v>6.38</v>
      </c>
      <c r="G230" s="11" t="str">
        <f aca="false">IF(AND(F230&gt;=Нормативы!$B$3,F230&lt;=Нормативы!$C$3),"норма","превышение")</f>
        <v>норма</v>
      </c>
      <c r="H230" s="13" t="n">
        <f aca="false">Данные_ввод!G230</f>
        <v>787</v>
      </c>
      <c r="I230" s="11" t="str">
        <f aca="false">IF(H230&lt;=Нормативы!$C$4,"норма","превышение")</f>
        <v>норма</v>
      </c>
      <c r="J230" s="11" t="str">
        <f aca="false">IF(AND(E230="норма",G230="норма",I230="норма"),"Проба соответствует","Проба не соответствует")</f>
        <v>Проба соответствует</v>
      </c>
    </row>
    <row r="231" customFormat="false" ht="15" hidden="false" customHeight="false" outlineLevel="0" collapsed="false">
      <c r="A231" s="9" t="str">
        <f aca="false">Данные_ввод!A231</f>
        <v>2026-03-25</v>
      </c>
      <c r="B231" s="9" t="str">
        <f aca="false">Данные_ввод!B231</f>
        <v>S-0230</v>
      </c>
      <c r="C231" s="9" t="str">
        <f aca="false">Данные_ввод!C231</f>
        <v>Точка-2 (резервуар)</v>
      </c>
      <c r="D231" s="10" t="n">
        <f aca="false">(Данные_ввод!D231-Градуировка_Fe!$B$4)/Градуировка_Fe!$B$3</f>
        <v>0.248656395557148</v>
      </c>
      <c r="E231" s="11" t="str">
        <f aca="false">IF(D231&lt;=Нормативы!$C$2,"норма","превышение")</f>
        <v>норма</v>
      </c>
      <c r="F231" s="12" t="n">
        <f aca="false">Данные_ввод!E231</f>
        <v>7.02</v>
      </c>
      <c r="G231" s="11" t="str">
        <f aca="false">IF(AND(F231&gt;=Нормативы!$B$3,F231&lt;=Нормативы!$C$3),"норма","превышение")</f>
        <v>норма</v>
      </c>
      <c r="H231" s="13" t="n">
        <f aca="false">Данные_ввод!G231</f>
        <v>464</v>
      </c>
      <c r="I231" s="11" t="str">
        <f aca="false">IF(H231&lt;=Нормативы!$C$4,"норма","превышение")</f>
        <v>норма</v>
      </c>
      <c r="J231" s="11" t="str">
        <f aca="false">IF(AND(E231="норма",G231="норма",I231="норма"),"Проба соответствует","Проба не соответствует")</f>
        <v>Проба соответствует</v>
      </c>
    </row>
    <row r="232" customFormat="false" ht="15" hidden="false" customHeight="false" outlineLevel="0" collapsed="false">
      <c r="A232" s="9" t="str">
        <f aca="false">Данные_ввод!A232</f>
        <v>2026-03-25</v>
      </c>
      <c r="B232" s="9" t="str">
        <f aca="false">Данные_ввод!B232</f>
        <v>S-0231</v>
      </c>
      <c r="C232" s="9" t="str">
        <f aca="false">Данные_ввод!C232</f>
        <v>Точка-2 (резервуар)</v>
      </c>
      <c r="D232" s="10" t="n">
        <f aca="false">(Данные_ввод!D232-Градуировка_Fe!$B$4)/Градуировка_Fe!$B$3</f>
        <v>0.231458258688642</v>
      </c>
      <c r="E232" s="11" t="str">
        <f aca="false">IF(D232&lt;=Нормативы!$C$2,"норма","превышение")</f>
        <v>норма</v>
      </c>
      <c r="F232" s="12" t="n">
        <f aca="false">Данные_ввод!E232</f>
        <v>7.61</v>
      </c>
      <c r="G232" s="11" t="str">
        <f aca="false">IF(AND(F232&gt;=Нормативы!$B$3,F232&lt;=Нормативы!$C$3),"норма","превышение")</f>
        <v>норма</v>
      </c>
      <c r="H232" s="13" t="n">
        <f aca="false">Данные_ввод!G232</f>
        <v>949</v>
      </c>
      <c r="I232" s="11" t="str">
        <f aca="false">IF(H232&lt;=Нормативы!$C$4,"норма","превышение")</f>
        <v>норма</v>
      </c>
      <c r="J232" s="11" t="str">
        <f aca="false">IF(AND(E232="норма",G232="норма",I232="норма"),"Проба соответствует","Проба не соответствует")</f>
        <v>Проба соответствует</v>
      </c>
    </row>
    <row r="233" customFormat="false" ht="15" hidden="false" customHeight="false" outlineLevel="0" collapsed="false">
      <c r="A233" s="9" t="str">
        <f aca="false">Данные_ввод!A233</f>
        <v>2026-03-25</v>
      </c>
      <c r="B233" s="9" t="str">
        <f aca="false">Данные_ввод!B233</f>
        <v>S-0232</v>
      </c>
      <c r="C233" s="9" t="str">
        <f aca="false">Данные_ввод!C233</f>
        <v>Точка-1 (скважина)</v>
      </c>
      <c r="D233" s="10" t="n">
        <f aca="false">(Данные_ввод!D233-Градуировка_Fe!$B$4)/Градуировка_Fe!$B$3</f>
        <v>0.128030574465544</v>
      </c>
      <c r="E233" s="11" t="str">
        <f aca="false">IF(D233&lt;=Нормативы!$C$2,"норма","превышение")</f>
        <v>норма</v>
      </c>
      <c r="F233" s="12" t="n">
        <f aca="false">Данные_ввод!E233</f>
        <v>6.38</v>
      </c>
      <c r="G233" s="11" t="str">
        <f aca="false">IF(AND(F233&gt;=Нормативы!$B$3,F233&lt;=Нормативы!$C$3),"норма","превышение")</f>
        <v>норма</v>
      </c>
      <c r="H233" s="13" t="n">
        <f aca="false">Данные_ввод!G233</f>
        <v>654</v>
      </c>
      <c r="I233" s="11" t="str">
        <f aca="false">IF(H233&lt;=Нормативы!$C$4,"норма","превышение")</f>
        <v>норма</v>
      </c>
      <c r="J233" s="11" t="str">
        <f aca="false">IF(AND(E233="норма",G233="норма",I233="норма"),"Проба соответствует","Проба не соответствует")</f>
        <v>Проба соответствует</v>
      </c>
    </row>
    <row r="234" customFormat="false" ht="15" hidden="false" customHeight="false" outlineLevel="0" collapsed="false">
      <c r="A234" s="9" t="str">
        <f aca="false">Данные_ввод!A234</f>
        <v>2026-03-26</v>
      </c>
      <c r="B234" s="9" t="str">
        <f aca="false">Данные_ввод!B234</f>
        <v>S-0233</v>
      </c>
      <c r="C234" s="9" t="str">
        <f aca="false">Данные_ввод!C234</f>
        <v>Точка-3 (сброс)</v>
      </c>
      <c r="D234" s="10" t="n">
        <f aca="false">(Данные_ввод!D234-Градуировка_Fe!$B$4)/Градуировка_Fe!$B$3</f>
        <v>0.168756718022214</v>
      </c>
      <c r="E234" s="11" t="str">
        <f aca="false">IF(D234&lt;=Нормативы!$C$2,"норма","превышение")</f>
        <v>норма</v>
      </c>
      <c r="F234" s="12" t="n">
        <f aca="false">Данные_ввод!E234</f>
        <v>6.82</v>
      </c>
      <c r="G234" s="11" t="str">
        <f aca="false">IF(AND(F234&gt;=Нормативы!$B$3,F234&lt;=Нормативы!$C$3),"норма","превышение")</f>
        <v>норма</v>
      </c>
      <c r="H234" s="13" t="n">
        <f aca="false">Данные_ввод!G234</f>
        <v>731</v>
      </c>
      <c r="I234" s="11" t="str">
        <f aca="false">IF(H234&lt;=Нормативы!$C$4,"норма","превышение")</f>
        <v>норма</v>
      </c>
      <c r="J234" s="11" t="str">
        <f aca="false">IF(AND(E234="норма",G234="норма",I234="норма"),"Проба соответствует","Проба не соответствует")</f>
        <v>Проба соответствует</v>
      </c>
    </row>
    <row r="235" customFormat="false" ht="15" hidden="false" customHeight="false" outlineLevel="0" collapsed="false">
      <c r="A235" s="9" t="str">
        <f aca="false">Данные_ввод!A235</f>
        <v>2026-03-26</v>
      </c>
      <c r="B235" s="9" t="str">
        <f aca="false">Данные_ввод!B235</f>
        <v>S-0234</v>
      </c>
      <c r="C235" s="9" t="str">
        <f aca="false">Данные_ввод!C235</f>
        <v>Точка-1 (скважина)</v>
      </c>
      <c r="D235" s="10" t="n">
        <f aca="false">(Данные_ввод!D235-Градуировка_Fe!$B$4)/Градуировка_Fe!$B$3</f>
        <v>0.131613519646483</v>
      </c>
      <c r="E235" s="11" t="str">
        <f aca="false">IF(D235&lt;=Нормативы!$C$2,"норма","превышение")</f>
        <v>норма</v>
      </c>
      <c r="F235" s="12" t="n">
        <f aca="false">Данные_ввод!E235</f>
        <v>6.31</v>
      </c>
      <c r="G235" s="11" t="str">
        <f aca="false">IF(AND(F235&gt;=Нормативы!$B$3,F235&lt;=Нормативы!$C$3),"норма","превышение")</f>
        <v>норма</v>
      </c>
      <c r="H235" s="13" t="n">
        <f aca="false">Данные_ввод!G235</f>
        <v>856</v>
      </c>
      <c r="I235" s="11" t="str">
        <f aca="false">IF(H235&lt;=Нормативы!$C$4,"норма","превышение")</f>
        <v>норма</v>
      </c>
      <c r="J235" s="11" t="str">
        <f aca="false">IF(AND(E235="норма",G235="норма",I235="норма"),"Проба соответствует","Проба не соответствует")</f>
        <v>Проба соответствует</v>
      </c>
    </row>
    <row r="236" customFormat="false" ht="15" hidden="false" customHeight="false" outlineLevel="0" collapsed="false">
      <c r="A236" s="9" t="str">
        <f aca="false">Данные_ввод!A236</f>
        <v>2026-03-26</v>
      </c>
      <c r="B236" s="9" t="str">
        <f aca="false">Данные_ввод!B236</f>
        <v>S-0235</v>
      </c>
      <c r="C236" s="9" t="str">
        <f aca="false">Данные_ввод!C236</f>
        <v>Точка-2 (резервуар)</v>
      </c>
      <c r="D236" s="10" t="n">
        <f aca="false">(Данные_ввод!D236-Градуировка_Fe!$B$4)/Градуировка_Fe!$B$3</f>
        <v>0.106174608861818</v>
      </c>
      <c r="E236" s="11" t="str">
        <f aca="false">IF(D236&lt;=Нормативы!$C$2,"норма","превышение")</f>
        <v>норма</v>
      </c>
      <c r="F236" s="12" t="n">
        <f aca="false">Данные_ввод!E236</f>
        <v>7.3</v>
      </c>
      <c r="G236" s="11" t="str">
        <f aca="false">IF(AND(F236&gt;=Нормативы!$B$3,F236&lt;=Нормативы!$C$3),"норма","превышение")</f>
        <v>норма</v>
      </c>
      <c r="H236" s="13" t="n">
        <f aca="false">Данные_ввод!G236</f>
        <v>616</v>
      </c>
      <c r="I236" s="11" t="str">
        <f aca="false">IF(H236&lt;=Нормативы!$C$4,"норма","превышение")</f>
        <v>норма</v>
      </c>
      <c r="J236" s="11" t="str">
        <f aca="false">IF(AND(E236="норма",G236="норма",I236="норма"),"Проба соответствует","Проба не соответствует")</f>
        <v>Проба соответствует</v>
      </c>
    </row>
    <row r="237" customFormat="false" ht="15" hidden="false" customHeight="false" outlineLevel="0" collapsed="false">
      <c r="A237" s="9" t="str">
        <f aca="false">Данные_ввод!A237</f>
        <v>2026-03-26</v>
      </c>
      <c r="B237" s="9" t="str">
        <f aca="false">Данные_ввод!B237</f>
        <v>S-0236</v>
      </c>
      <c r="C237" s="9" t="str">
        <f aca="false">Данные_ввод!C237</f>
        <v>Точка-1 (скважина)</v>
      </c>
      <c r="D237" s="10" t="n">
        <f aca="false">(Данные_ввод!D237-Градуировка_Fe!$B$4)/Градуировка_Fe!$B$3</f>
        <v>0.0509972530753613</v>
      </c>
      <c r="E237" s="11" t="str">
        <f aca="false">IF(D237&lt;=Нормативы!$C$2,"норма","превышение")</f>
        <v>норма</v>
      </c>
      <c r="F237" s="12" t="n">
        <f aca="false">Данные_ввод!E237</f>
        <v>6.81</v>
      </c>
      <c r="G237" s="11" t="str">
        <f aca="false">IF(AND(F237&gt;=Нормативы!$B$3,F237&lt;=Нормативы!$C$3),"норма","превышение")</f>
        <v>норма</v>
      </c>
      <c r="H237" s="13" t="n">
        <f aca="false">Данные_ввод!G237</f>
        <v>601</v>
      </c>
      <c r="I237" s="11" t="str">
        <f aca="false">IF(H237&lt;=Нормативы!$C$4,"норма","превышение")</f>
        <v>норма</v>
      </c>
      <c r="J237" s="11" t="str">
        <f aca="false">IF(AND(E237="норма",G237="норма",I237="норма"),"Проба соответствует","Проба не соответствует")</f>
        <v>Проба соответствует</v>
      </c>
    </row>
    <row r="238" customFormat="false" ht="15" hidden="false" customHeight="false" outlineLevel="0" collapsed="false">
      <c r="A238" s="9" t="str">
        <f aca="false">Данные_ввод!A238</f>
        <v>2026-03-27</v>
      </c>
      <c r="B238" s="9" t="str">
        <f aca="false">Данные_ввод!B238</f>
        <v>S-0237</v>
      </c>
      <c r="C238" s="9" t="str">
        <f aca="false">Данные_ввод!C238</f>
        <v>Точка-1 (скважина)</v>
      </c>
      <c r="D238" s="10" t="n">
        <f aca="false">(Данные_ввод!D238-Градуировка_Fe!$B$4)/Градуировка_Fe!$B$3</f>
        <v>0.121342410127792</v>
      </c>
      <c r="E238" s="11" t="str">
        <f aca="false">IF(D238&lt;=Нормативы!$C$2,"норма","превышение")</f>
        <v>норма</v>
      </c>
      <c r="F238" s="12" t="n">
        <f aca="false">Данные_ввод!E238</f>
        <v>6.92</v>
      </c>
      <c r="G238" s="11" t="str">
        <f aca="false">IF(AND(F238&gt;=Нормативы!$B$3,F238&lt;=Нормативы!$C$3),"норма","превышение")</f>
        <v>норма</v>
      </c>
      <c r="H238" s="13" t="n">
        <f aca="false">Данные_ввод!G238</f>
        <v>436</v>
      </c>
      <c r="I238" s="11" t="str">
        <f aca="false">IF(H238&lt;=Нормативы!$C$4,"норма","превышение")</f>
        <v>норма</v>
      </c>
      <c r="J238" s="11" t="str">
        <f aca="false">IF(AND(E238="норма",G238="норма",I238="норма"),"Проба соответствует","Проба не соответствует")</f>
        <v>Проба соответствует</v>
      </c>
    </row>
    <row r="239" customFormat="false" ht="15" hidden="false" customHeight="false" outlineLevel="0" collapsed="false">
      <c r="A239" s="9" t="str">
        <f aca="false">Данные_ввод!A239</f>
        <v>2026-03-27</v>
      </c>
      <c r="B239" s="9" t="str">
        <f aca="false">Данные_ввод!B239</f>
        <v>S-0238</v>
      </c>
      <c r="C239" s="9" t="str">
        <f aca="false">Данные_ввод!C239</f>
        <v>Точка-1 (скважина)</v>
      </c>
      <c r="D239" s="10" t="n">
        <f aca="false">(Данные_ввод!D239-Градуировка_Fe!$B$4)/Градуировка_Fe!$B$3</f>
        <v>0.11011584856085</v>
      </c>
      <c r="E239" s="11" t="str">
        <f aca="false">IF(D239&lt;=Нормативы!$C$2,"норма","превышение")</f>
        <v>норма</v>
      </c>
      <c r="F239" s="12" t="n">
        <f aca="false">Данные_ввод!E239</f>
        <v>6.07</v>
      </c>
      <c r="G239" s="11" t="str">
        <f aca="false">IF(AND(F239&gt;=Нормативы!$B$3,F239&lt;=Нормативы!$C$3),"норма","превышение")</f>
        <v>норма</v>
      </c>
      <c r="H239" s="13" t="n">
        <f aca="false">Данные_ввод!G239</f>
        <v>759</v>
      </c>
      <c r="I239" s="11" t="str">
        <f aca="false">IF(H239&lt;=Нормативы!$C$4,"норма","превышение")</f>
        <v>норма</v>
      </c>
      <c r="J239" s="11" t="str">
        <f aca="false">IF(AND(E239="норма",G239="норма",I239="норма"),"Проба соответствует","Проба не соответствует")</f>
        <v>Проба соответствует</v>
      </c>
    </row>
    <row r="240" customFormat="false" ht="15" hidden="false" customHeight="false" outlineLevel="0" collapsed="false">
      <c r="A240" s="9" t="str">
        <f aca="false">Данные_ввод!A240</f>
        <v>2026-03-27</v>
      </c>
      <c r="B240" s="9" t="str">
        <f aca="false">Данные_ввод!B240</f>
        <v>S-0239</v>
      </c>
      <c r="C240" s="9" t="str">
        <f aca="false">Данные_ввод!C240</f>
        <v>Точка-2 (резервуар)</v>
      </c>
      <c r="D240" s="10" t="n">
        <f aca="false">(Данные_ввод!D240-Градуировка_Fe!$B$4)/Градуировка_Fe!$B$3</f>
        <v>0.194315060312911</v>
      </c>
      <c r="E240" s="11" t="str">
        <f aca="false">IF(D240&lt;=Нормативы!$C$2,"норма","превышение")</f>
        <v>норма</v>
      </c>
      <c r="F240" s="12" t="n">
        <f aca="false">Данные_ввод!E240</f>
        <v>7.41</v>
      </c>
      <c r="G240" s="11" t="str">
        <f aca="false">IF(AND(F240&gt;=Нормативы!$B$3,F240&lt;=Нормативы!$C$3),"норма","превышение")</f>
        <v>норма</v>
      </c>
      <c r="H240" s="13" t="n">
        <f aca="false">Данные_ввод!G240</f>
        <v>852</v>
      </c>
      <c r="I240" s="11" t="str">
        <f aca="false">IF(H240&lt;=Нормативы!$C$4,"норма","превышение")</f>
        <v>норма</v>
      </c>
      <c r="J240" s="11" t="str">
        <f aca="false">IF(AND(E240="норма",G240="норма",I240="норма"),"Проба соответствует","Проба не соответствует")</f>
        <v>Проба соответствует</v>
      </c>
    </row>
    <row r="241" customFormat="false" ht="15" hidden="false" customHeight="false" outlineLevel="0" collapsed="false">
      <c r="A241" s="9" t="str">
        <f aca="false">Данные_ввод!A241</f>
        <v>2026-03-27</v>
      </c>
      <c r="B241" s="9" t="str">
        <f aca="false">Данные_ввод!B241</f>
        <v>S-0240</v>
      </c>
      <c r="C241" s="9" t="str">
        <f aca="false">Данные_ввод!C241</f>
        <v>Точка-1 (скважина)</v>
      </c>
      <c r="D241" s="10" t="n">
        <f aca="false">(Данные_ввод!D241-Градуировка_Fe!$B$4)/Градуировка_Fe!$B$3</f>
        <v>0.112504478681476</v>
      </c>
      <c r="E241" s="11" t="str">
        <f aca="false">IF(D241&lt;=Нормативы!$C$2,"норма","превышение")</f>
        <v>норма</v>
      </c>
      <c r="F241" s="12" t="n">
        <f aca="false">Данные_ввод!E241</f>
        <v>6.55</v>
      </c>
      <c r="G241" s="11" t="str">
        <f aca="false">IF(AND(F241&gt;=Нормативы!$B$3,F241&lt;=Нормативы!$C$3),"норма","превышение")</f>
        <v>норма</v>
      </c>
      <c r="H241" s="13" t="n">
        <f aca="false">Данные_ввод!G241</f>
        <v>762</v>
      </c>
      <c r="I241" s="11" t="str">
        <f aca="false">IF(H241&lt;=Нормативы!$C$4,"норма","превышение")</f>
        <v>норма</v>
      </c>
      <c r="J241" s="11" t="str">
        <f aca="false">IF(AND(E241="норма",G241="норма",I241="норма"),"Проба соответствует","Проба не соответствует")</f>
        <v>Проба соответствует</v>
      </c>
    </row>
    <row r="242" customFormat="false" ht="15" hidden="false" customHeight="false" outlineLevel="0" collapsed="false">
      <c r="A242" s="9" t="str">
        <f aca="false">Данные_ввод!A242</f>
        <v>2026-03-30</v>
      </c>
      <c r="B242" s="9" t="str">
        <f aca="false">Данные_ввод!B242</f>
        <v>S-0241</v>
      </c>
      <c r="C242" s="9" t="str">
        <f aca="false">Данные_ввод!C242</f>
        <v>Точка-2 (резервуар)</v>
      </c>
      <c r="D242" s="10" t="n">
        <f aca="false">(Данные_ввод!D242-Градуировка_Fe!$B$4)/Градуировка_Fe!$B$3</f>
        <v>0.201958676698913</v>
      </c>
      <c r="E242" s="11" t="str">
        <f aca="false">IF(D242&lt;=Нормативы!$C$2,"норма","превышение")</f>
        <v>норма</v>
      </c>
      <c r="F242" s="12" t="n">
        <f aca="false">Данные_ввод!E242</f>
        <v>8</v>
      </c>
      <c r="G242" s="11" t="str">
        <f aca="false">IF(AND(F242&gt;=Нормативы!$B$3,F242&lt;=Нормативы!$C$3),"норма","превышение")</f>
        <v>норма</v>
      </c>
      <c r="H242" s="13" t="n">
        <f aca="false">Данные_ввод!G242</f>
        <v>862</v>
      </c>
      <c r="I242" s="11" t="str">
        <f aca="false">IF(H242&lt;=Нормативы!$C$4,"норма","превышение")</f>
        <v>норма</v>
      </c>
      <c r="J242" s="11" t="str">
        <f aca="false">IF(AND(E242="норма",G242="норма",I242="норма"),"Проба соответствует","Проба не соответствует")</f>
        <v>Проба соответствует</v>
      </c>
    </row>
    <row r="243" customFormat="false" ht="15" hidden="false" customHeight="false" outlineLevel="0" collapsed="false">
      <c r="A243" s="9" t="str">
        <f aca="false">Данные_ввод!A243</f>
        <v>2026-03-30</v>
      </c>
      <c r="B243" s="9" t="str">
        <f aca="false">Данные_ввод!B243</f>
        <v>S-0242</v>
      </c>
      <c r="C243" s="9" t="str">
        <f aca="false">Данные_ввод!C243</f>
        <v>Точка-2 (резервуар)</v>
      </c>
      <c r="D243" s="10" t="n">
        <f aca="false">(Данные_ввод!D243-Градуировка_Fe!$B$4)/Градуировка_Fe!$B$3</f>
        <v>0.0128986026513794</v>
      </c>
      <c r="E243" s="11" t="str">
        <f aca="false">IF(D243&lt;=Нормативы!$C$2,"норма","превышение")</f>
        <v>норма</v>
      </c>
      <c r="F243" s="12" t="n">
        <f aca="false">Данные_ввод!E243</f>
        <v>6.51</v>
      </c>
      <c r="G243" s="11" t="str">
        <f aca="false">IF(AND(F243&gt;=Нормативы!$B$3,F243&lt;=Нормативы!$C$3),"норма","превышение")</f>
        <v>норма</v>
      </c>
      <c r="H243" s="13" t="n">
        <f aca="false">Данные_ввод!G243</f>
        <v>685</v>
      </c>
      <c r="I243" s="11" t="str">
        <f aca="false">IF(H243&lt;=Нормативы!$C$4,"норма","превышение")</f>
        <v>норма</v>
      </c>
      <c r="J243" s="11" t="str">
        <f aca="false">IF(AND(E243="норма",G243="норма",I243="норма"),"Проба соответствует","Проба не соответствует")</f>
        <v>Проба соответствует</v>
      </c>
    </row>
    <row r="244" customFormat="false" ht="15" hidden="false" customHeight="false" outlineLevel="0" collapsed="false">
      <c r="A244" s="9" t="str">
        <f aca="false">Данные_ввод!A244</f>
        <v>2026-03-30</v>
      </c>
      <c r="B244" s="9" t="str">
        <f aca="false">Данные_ввод!B244</f>
        <v>S-0243</v>
      </c>
      <c r="C244" s="9" t="str">
        <f aca="false">Данные_ввод!C244</f>
        <v>Точка-1 (скважина)</v>
      </c>
      <c r="D244" s="10" t="n">
        <f aca="false">(Данные_ввод!D244-Градуировка_Fe!$B$4)/Градуировка_Fe!$B$3</f>
        <v>0.0852740953063418</v>
      </c>
      <c r="E244" s="11" t="str">
        <f aca="false">IF(D244&lt;=Нормативы!$C$2,"норма","превышение")</f>
        <v>норма</v>
      </c>
      <c r="F244" s="12" t="n">
        <f aca="false">Данные_ввод!E244</f>
        <v>8.72</v>
      </c>
      <c r="G244" s="11" t="str">
        <f aca="false">IF(AND(F244&gt;=Нормативы!$B$3,F244&lt;=Нормативы!$C$3),"норма","превышение")</f>
        <v>норма</v>
      </c>
      <c r="H244" s="13" t="n">
        <f aca="false">Данные_ввод!G244</f>
        <v>522</v>
      </c>
      <c r="I244" s="11" t="str">
        <f aca="false">IF(H244&lt;=Нормативы!$C$4,"норма","превышение")</f>
        <v>норма</v>
      </c>
      <c r="J244" s="11" t="str">
        <f aca="false">IF(AND(E244="норма",G244="норма",I244="норма"),"Проба соответствует","Проба не соответствует")</f>
        <v>Проба соответствует</v>
      </c>
    </row>
    <row r="245" customFormat="false" ht="15" hidden="false" customHeight="false" outlineLevel="0" collapsed="false">
      <c r="A245" s="9" t="str">
        <f aca="false">Данные_ввод!A245</f>
        <v>2026-03-30</v>
      </c>
      <c r="B245" s="9" t="str">
        <f aca="false">Данные_ввод!B245</f>
        <v>S-0244</v>
      </c>
      <c r="C245" s="9" t="str">
        <f aca="false">Данные_ввод!C245</f>
        <v>Точка-3 (сброс)</v>
      </c>
      <c r="D245" s="10" t="n">
        <f aca="false">(Данные_ввод!D245-Градуировка_Fe!$B$4)/Градуировка_Fe!$B$3</f>
        <v>0.265137943389466</v>
      </c>
      <c r="E245" s="11" t="str">
        <f aca="false">IF(D245&lt;=Нормативы!$C$2,"норма","превышение")</f>
        <v>норма</v>
      </c>
      <c r="F245" s="12" t="n">
        <f aca="false">Данные_ввод!E245</f>
        <v>7.33</v>
      </c>
      <c r="G245" s="11" t="str">
        <f aca="false">IF(AND(F245&gt;=Нормативы!$B$3,F245&lt;=Нормативы!$C$3),"норма","превышение")</f>
        <v>норма</v>
      </c>
      <c r="H245" s="13" t="n">
        <f aca="false">Данные_ввод!G245</f>
        <v>972</v>
      </c>
      <c r="I245" s="11" t="str">
        <f aca="false">IF(H245&lt;=Нормативы!$C$4,"норма","превышение")</f>
        <v>норма</v>
      </c>
      <c r="J245" s="11" t="str">
        <f aca="false">IF(AND(E245="норма",G245="норма",I245="норма"),"Проба соответствует","Проба не соответствует")</f>
        <v>Проба соответствует</v>
      </c>
    </row>
    <row r="246" customFormat="false" ht="15" hidden="false" customHeight="false" outlineLevel="0" collapsed="false">
      <c r="A246" s="9" t="str">
        <f aca="false">Данные_ввод!A246</f>
        <v>2026-03-31</v>
      </c>
      <c r="B246" s="9" t="str">
        <f aca="false">Данные_ввод!B246</f>
        <v>S-0245</v>
      </c>
      <c r="C246" s="9" t="str">
        <f aca="false">Данные_ввод!C246</f>
        <v>Точка-3 (сброс)</v>
      </c>
      <c r="D246" s="10" t="n">
        <f aca="false">(Данные_ввод!D246-Градуировка_Fe!$B$4)/Градуировка_Fe!$B$3</f>
        <v>0.158007882479398</v>
      </c>
      <c r="E246" s="11" t="str">
        <f aca="false">IF(D246&lt;=Нормативы!$C$2,"норма","превышение")</f>
        <v>норма</v>
      </c>
      <c r="F246" s="12" t="n">
        <f aca="false">Данные_ввод!E246</f>
        <v>6.44</v>
      </c>
      <c r="G246" s="11" t="str">
        <f aca="false">IF(AND(F246&gt;=Нормативы!$B$3,F246&lt;=Нормативы!$C$3),"норма","превышение")</f>
        <v>норма</v>
      </c>
      <c r="H246" s="13" t="n">
        <f aca="false">Данные_ввод!G246</f>
        <v>652</v>
      </c>
      <c r="I246" s="11" t="str">
        <f aca="false">IF(H246&lt;=Нормативы!$C$4,"норма","превышение")</f>
        <v>норма</v>
      </c>
      <c r="J246" s="11" t="str">
        <f aca="false">IF(AND(E246="норма",G246="норма",I246="норма"),"Проба соответствует","Проба не соответствует")</f>
        <v>Проба соответствует</v>
      </c>
    </row>
    <row r="247" customFormat="false" ht="15" hidden="false" customHeight="false" outlineLevel="0" collapsed="false">
      <c r="A247" s="9" t="str">
        <f aca="false">Данные_ввод!A247</f>
        <v>2026-03-31</v>
      </c>
      <c r="B247" s="9" t="str">
        <f aca="false">Данные_ввод!B247</f>
        <v>S-0246</v>
      </c>
      <c r="C247" s="9" t="str">
        <f aca="false">Данные_ввод!C247</f>
        <v>Точка-2 (резервуар)</v>
      </c>
      <c r="D247" s="10" t="n">
        <f aca="false">(Данные_ввод!D247-Градуировка_Fe!$B$4)/Градуировка_Fe!$B$3</f>
        <v>0.231458258688642</v>
      </c>
      <c r="E247" s="11" t="str">
        <f aca="false">IF(D247&lt;=Нормативы!$C$2,"норма","превышение")</f>
        <v>норма</v>
      </c>
      <c r="F247" s="12" t="n">
        <f aca="false">Данные_ввод!E247</f>
        <v>6.61</v>
      </c>
      <c r="G247" s="11" t="str">
        <f aca="false">IF(AND(F247&gt;=Нормативы!$B$3,F247&lt;=Нормативы!$C$3),"норма","превышение")</f>
        <v>норма</v>
      </c>
      <c r="H247" s="13" t="n">
        <f aca="false">Данные_ввод!G247</f>
        <v>928</v>
      </c>
      <c r="I247" s="11" t="str">
        <f aca="false">IF(H247&lt;=Нормативы!$C$4,"норма","превышение")</f>
        <v>норма</v>
      </c>
      <c r="J247" s="11" t="str">
        <f aca="false">IF(AND(E247="норма",G247="норма",I247="норма"),"Проба соответствует","Проба не соответствует")</f>
        <v>Проба соответствует</v>
      </c>
    </row>
    <row r="248" customFormat="false" ht="15" hidden="false" customHeight="false" outlineLevel="0" collapsed="false">
      <c r="A248" s="9" t="str">
        <f aca="false">Данные_ввод!A248</f>
        <v>2026-03-31</v>
      </c>
      <c r="B248" s="9" t="str">
        <f aca="false">Данные_ввод!B248</f>
        <v>S-0247</v>
      </c>
      <c r="C248" s="9" t="str">
        <f aca="false">Данные_ввод!C248</f>
        <v>Точка-2 (резервуар)</v>
      </c>
      <c r="D248" s="10" t="n">
        <f aca="false">(Данные_ввод!D248-Градуировка_Fe!$B$4)/Градуировка_Fe!$B$3</f>
        <v>0.151080855129583</v>
      </c>
      <c r="E248" s="11" t="str">
        <f aca="false">IF(D248&lt;=Нормативы!$C$2,"норма","превышение")</f>
        <v>норма</v>
      </c>
      <c r="F248" s="12" t="n">
        <f aca="false">Данные_ввод!E248</f>
        <v>7.1</v>
      </c>
      <c r="G248" s="11" t="str">
        <f aca="false">IF(AND(F248&gt;=Нормативы!$B$3,F248&lt;=Нормативы!$C$3),"норма","превышение")</f>
        <v>норма</v>
      </c>
      <c r="H248" s="13" t="n">
        <f aca="false">Данные_ввод!G248</f>
        <v>852</v>
      </c>
      <c r="I248" s="11" t="str">
        <f aca="false">IF(H248&lt;=Нормативы!$C$4,"норма","превышение")</f>
        <v>норма</v>
      </c>
      <c r="J248" s="11" t="str">
        <f aca="false">IF(AND(E248="норма",G248="норма",I248="норма"),"Проба соответствует","Проба не соответствует")</f>
        <v>Проба соответствует</v>
      </c>
    </row>
    <row r="249" customFormat="false" ht="15" hidden="false" customHeight="false" outlineLevel="0" collapsed="false">
      <c r="A249" s="9" t="str">
        <f aca="false">Данные_ввод!A249</f>
        <v>2026-03-31</v>
      </c>
      <c r="B249" s="9" t="str">
        <f aca="false">Данные_ввод!B249</f>
        <v>S-0248</v>
      </c>
      <c r="C249" s="9" t="str">
        <f aca="false">Данные_ввод!C249</f>
        <v>Точка-3 (сброс)</v>
      </c>
      <c r="D249" s="10" t="n">
        <f aca="false">(Данные_ввод!D249-Градуировка_Fe!$B$4)/Градуировка_Fe!$B$3</f>
        <v>0.242087662725427</v>
      </c>
      <c r="E249" s="11" t="str">
        <f aca="false">IF(D249&lt;=Нормативы!$C$2,"норма","превышение")</f>
        <v>норма</v>
      </c>
      <c r="F249" s="12" t="n">
        <f aca="false">Данные_ввод!E249</f>
        <v>7.64</v>
      </c>
      <c r="G249" s="11" t="str">
        <f aca="false">IF(AND(F249&gt;=Нормативы!$B$3,F249&lt;=Нормативы!$C$3),"норма","превышение")</f>
        <v>норма</v>
      </c>
      <c r="H249" s="13" t="n">
        <f aca="false">Данные_ввод!G249</f>
        <v>668</v>
      </c>
      <c r="I249" s="11" t="str">
        <f aca="false">IF(H249&lt;=Нормативы!$C$4,"норма","превышение")</f>
        <v>норма</v>
      </c>
      <c r="J249" s="11" t="str">
        <f aca="false">IF(AND(E249="норма",G249="норма",I249="норма"),"Проба соответствует","Проба не соответствует")</f>
        <v>Проба соответствует</v>
      </c>
    </row>
    <row r="250" customFormat="false" ht="15" hidden="false" customHeight="false" outlineLevel="0" collapsed="false">
      <c r="A250" s="9" t="str">
        <f aca="false">Данные_ввод!A250</f>
        <v>2026-04-01</v>
      </c>
      <c r="B250" s="9" t="str">
        <f aca="false">Данные_ввод!B250</f>
        <v>S-0249</v>
      </c>
      <c r="C250" s="9" t="str">
        <f aca="false">Данные_ввод!C250</f>
        <v>Точка-3 (сброс)</v>
      </c>
      <c r="D250" s="10" t="n">
        <f aca="false">(Данные_ввод!D250-Градуировка_Fe!$B$4)/Градуировка_Fe!$B$3</f>
        <v>0.26919861459453</v>
      </c>
      <c r="E250" s="11" t="str">
        <f aca="false">IF(D250&lt;=Нормативы!$C$2,"норма","превышение")</f>
        <v>норма</v>
      </c>
      <c r="F250" s="12" t="n">
        <f aca="false">Данные_ввод!E250</f>
        <v>7.42</v>
      </c>
      <c r="G250" s="11" t="str">
        <f aca="false">IF(AND(F250&gt;=Нормативы!$B$3,F250&lt;=Нормативы!$C$3),"норма","превышение")</f>
        <v>норма</v>
      </c>
      <c r="H250" s="13" t="n">
        <f aca="false">Данные_ввод!G250</f>
        <v>756</v>
      </c>
      <c r="I250" s="11" t="str">
        <f aca="false">IF(H250&lt;=Нормативы!$C$4,"норма","превышение")</f>
        <v>норма</v>
      </c>
      <c r="J250" s="11" t="str">
        <f aca="false">IF(AND(E250="норма",G250="норма",I250="норма"),"Проба соответствует","Проба не соответствует")</f>
        <v>Проба соответствует</v>
      </c>
    </row>
    <row r="251" customFormat="false" ht="15" hidden="false" customHeight="false" outlineLevel="0" collapsed="false">
      <c r="A251" s="9" t="str">
        <f aca="false">Данные_ввод!A251</f>
        <v>2026-04-01</v>
      </c>
      <c r="B251" s="9" t="str">
        <f aca="false">Данные_ввод!B251</f>
        <v>S-0250</v>
      </c>
      <c r="C251" s="9" t="str">
        <f aca="false">Данные_ввод!C251</f>
        <v>Точка-3 (сброс)</v>
      </c>
      <c r="D251" s="10" t="n">
        <f aca="false">(Данные_ввод!D251-Градуировка_Fe!$B$4)/Градуировка_Fe!$B$3</f>
        <v>0.0919622596440941</v>
      </c>
      <c r="E251" s="11" t="str">
        <f aca="false">IF(D251&lt;=Нормативы!$C$2,"норма","превышение")</f>
        <v>норма</v>
      </c>
      <c r="F251" s="12" t="n">
        <f aca="false">Данные_ввод!E251</f>
        <v>6.97</v>
      </c>
      <c r="G251" s="11" t="str">
        <f aca="false">IF(AND(F251&gt;=Нормативы!$B$3,F251&lt;=Нормативы!$C$3),"норма","превышение")</f>
        <v>норма</v>
      </c>
      <c r="H251" s="13" t="n">
        <f aca="false">Данные_ввод!G251</f>
        <v>563</v>
      </c>
      <c r="I251" s="11" t="str">
        <f aca="false">IF(H251&lt;=Нормативы!$C$4,"норма","превышение")</f>
        <v>норма</v>
      </c>
      <c r="J251" s="11" t="str">
        <f aca="false">IF(AND(E251="норма",G251="норма",I251="норма"),"Проба соответствует","Проба не соответствует")</f>
        <v>Проба соответствует</v>
      </c>
    </row>
    <row r="252" customFormat="false" ht="15" hidden="false" customHeight="false" outlineLevel="0" collapsed="false">
      <c r="A252" s="9" t="str">
        <f aca="false">Данные_ввод!A252</f>
        <v>2026-04-01</v>
      </c>
      <c r="B252" s="9" t="str">
        <f aca="false">Данные_ввод!B252</f>
        <v>S-0251</v>
      </c>
      <c r="C252" s="9" t="str">
        <f aca="false">Данные_ввод!C252</f>
        <v>Точка-2 (резервуар)</v>
      </c>
      <c r="D252" s="10" t="n">
        <f aca="false">(Данные_ввод!D252-Градуировка_Fe!$B$4)/Градуировка_Fe!$B$3</f>
        <v>0.262271587244715</v>
      </c>
      <c r="E252" s="11" t="str">
        <f aca="false">IF(D252&lt;=Нормативы!$C$2,"норма","превышение")</f>
        <v>норма</v>
      </c>
      <c r="F252" s="12" t="n">
        <f aca="false">Данные_ввод!E252</f>
        <v>8.32</v>
      </c>
      <c r="G252" s="11" t="str">
        <f aca="false">IF(AND(F252&gt;=Нормативы!$B$3,F252&lt;=Нормативы!$C$3),"норма","превышение")</f>
        <v>норма</v>
      </c>
      <c r="H252" s="13" t="n">
        <f aca="false">Данные_ввод!G252</f>
        <v>526</v>
      </c>
      <c r="I252" s="11" t="str">
        <f aca="false">IF(H252&lt;=Нормативы!$C$4,"норма","превышение")</f>
        <v>норма</v>
      </c>
      <c r="J252" s="11" t="str">
        <f aca="false">IF(AND(E252="норма",G252="норма",I252="норма"),"Проба соответствует","Проба не соответствует")</f>
        <v>Проба соответствует</v>
      </c>
    </row>
    <row r="253" customFormat="false" ht="15" hidden="false" customHeight="false" outlineLevel="0" collapsed="false">
      <c r="A253" s="9" t="str">
        <f aca="false">Данные_ввод!A253</f>
        <v>2026-04-01</v>
      </c>
      <c r="B253" s="9" t="str">
        <f aca="false">Данные_ввод!B253</f>
        <v>S-0252</v>
      </c>
      <c r="C253" s="9" t="str">
        <f aca="false">Данные_ввод!C253</f>
        <v>Точка-1 (скважина)</v>
      </c>
      <c r="D253" s="10" t="n">
        <f aca="false">(Данные_ввод!D253-Градуировка_Fe!$B$4)/Градуировка_Fe!$B$3</f>
        <v>0.163143437238744</v>
      </c>
      <c r="E253" s="11" t="str">
        <f aca="false">IF(D253&lt;=Нормативы!$C$2,"норма","превышение")</f>
        <v>норма</v>
      </c>
      <c r="F253" s="12" t="n">
        <f aca="false">Данные_ввод!E253</f>
        <v>7.1</v>
      </c>
      <c r="G253" s="11" t="str">
        <f aca="false">IF(AND(F253&gt;=Нормативы!$B$3,F253&lt;=Нормативы!$C$3),"норма","превышение")</f>
        <v>норма</v>
      </c>
      <c r="H253" s="13" t="n">
        <f aca="false">Данные_ввод!G253</f>
        <v>543</v>
      </c>
      <c r="I253" s="11" t="str">
        <f aca="false">IF(H253&lt;=Нормативы!$C$4,"норма","превышение")</f>
        <v>норма</v>
      </c>
      <c r="J253" s="11" t="str">
        <f aca="false">IF(AND(E253="норма",G253="норма",I253="норма"),"Проба соответствует","Проба не соответствует")</f>
        <v>Проба соответствует</v>
      </c>
    </row>
    <row r="254" customFormat="false" ht="15" hidden="false" customHeight="false" outlineLevel="0" collapsed="false">
      <c r="A254" s="9" t="str">
        <f aca="false">Данные_ввод!A254</f>
        <v>2026-04-02</v>
      </c>
      <c r="B254" s="9" t="str">
        <f aca="false">Данные_ввод!B254</f>
        <v>S-0253</v>
      </c>
      <c r="C254" s="9" t="str">
        <f aca="false">Данные_ввод!C254</f>
        <v>Точка-3 (сброс)</v>
      </c>
      <c r="D254" s="10" t="n">
        <f aca="false">(Данные_ввод!D254-Градуировка_Fe!$B$4)/Градуировка_Fe!$B$3</f>
        <v>0.289740833631912</v>
      </c>
      <c r="E254" s="11" t="str">
        <f aca="false">IF(D254&lt;=Нормативы!$C$2,"норма","превышение")</f>
        <v>норма</v>
      </c>
      <c r="F254" s="12" t="n">
        <f aca="false">Данные_ввод!E254</f>
        <v>6.83</v>
      </c>
      <c r="G254" s="11" t="str">
        <f aca="false">IF(AND(F254&gt;=Нормативы!$B$3,F254&lt;=Нормативы!$C$3),"норма","превышение")</f>
        <v>норма</v>
      </c>
      <c r="H254" s="13" t="n">
        <f aca="false">Данные_ввод!G254</f>
        <v>626</v>
      </c>
      <c r="I254" s="11" t="str">
        <f aca="false">IF(H254&lt;=Нормативы!$C$4,"норма","превышение")</f>
        <v>норма</v>
      </c>
      <c r="J254" s="11" t="str">
        <f aca="false">IF(AND(E254="норма",G254="норма",I254="норма"),"Проба соответствует","Проба не соответствует")</f>
        <v>Проба соответствует</v>
      </c>
    </row>
    <row r="255" customFormat="false" ht="15" hidden="false" customHeight="false" outlineLevel="0" collapsed="false">
      <c r="A255" s="9" t="str">
        <f aca="false">Данные_ввод!A255</f>
        <v>2026-04-02</v>
      </c>
      <c r="B255" s="9" t="str">
        <f aca="false">Данные_ввод!B255</f>
        <v>S-0254</v>
      </c>
      <c r="C255" s="9" t="str">
        <f aca="false">Данные_ввод!C255</f>
        <v>Точка-3 (сброс)</v>
      </c>
      <c r="D255" s="10" t="n">
        <f aca="false">(Данные_ввод!D255-Градуировка_Fe!$B$4)/Градуировка_Fe!$B$3</f>
        <v>0.313388271826108</v>
      </c>
      <c r="E255" s="11" t="str">
        <f aca="false">IF(D255&lt;=Нормативы!$C$2,"норма","превышение")</f>
        <v>превышение</v>
      </c>
      <c r="F255" s="12" t="n">
        <f aca="false">Данные_ввод!E255</f>
        <v>7.38</v>
      </c>
      <c r="G255" s="11" t="str">
        <f aca="false">IF(AND(F255&gt;=Нормативы!$B$3,F255&lt;=Нормативы!$C$3),"норма","превышение")</f>
        <v>норма</v>
      </c>
      <c r="H255" s="13" t="n">
        <f aca="false">Данные_ввод!G255</f>
        <v>656</v>
      </c>
      <c r="I255" s="11" t="str">
        <f aca="false">IF(H255&lt;=Нормативы!$C$4,"норма","превышение")</f>
        <v>норма</v>
      </c>
      <c r="J255" s="11" t="str">
        <f aca="false">IF(AND(E255="норма",G255="норма",I255="норма"),"Проба соответствует","Проба не соответствует")</f>
        <v>Проба не соответствует</v>
      </c>
    </row>
    <row r="256" customFormat="false" ht="15" hidden="false" customHeight="false" outlineLevel="0" collapsed="false">
      <c r="A256" s="9" t="str">
        <f aca="false">Данные_ввод!A256</f>
        <v>2026-04-02</v>
      </c>
      <c r="B256" s="9" t="str">
        <f aca="false">Данные_ввод!B256</f>
        <v>S-0255</v>
      </c>
      <c r="C256" s="9" t="str">
        <f aca="false">Данные_ввод!C256</f>
        <v>Точка-3 (сброс)</v>
      </c>
      <c r="D256" s="10" t="n">
        <f aca="false">(Данные_ввод!D256-Градуировка_Fe!$B$4)/Градуировка_Fe!$B$3</f>
        <v>0.207333094470321</v>
      </c>
      <c r="E256" s="11" t="str">
        <f aca="false">IF(D256&lt;=Нормативы!$C$2,"норма","превышение")</f>
        <v>норма</v>
      </c>
      <c r="F256" s="12" t="n">
        <f aca="false">Данные_ввод!E256</f>
        <v>6.96</v>
      </c>
      <c r="G256" s="11" t="str">
        <f aca="false">IF(AND(F256&gt;=Нормативы!$B$3,F256&lt;=Нормативы!$C$3),"норма","превышение")</f>
        <v>норма</v>
      </c>
      <c r="H256" s="13" t="n">
        <f aca="false">Данные_ввод!G256</f>
        <v>522</v>
      </c>
      <c r="I256" s="11" t="str">
        <f aca="false">IF(H256&lt;=Нормативы!$C$4,"норма","превышение")</f>
        <v>норма</v>
      </c>
      <c r="J256" s="11" t="str">
        <f aca="false">IF(AND(E256="норма",G256="норма",I256="норма"),"Проба соответствует","Проба не соответствует")</f>
        <v>Проба соответствует</v>
      </c>
    </row>
    <row r="257" customFormat="false" ht="15" hidden="false" customHeight="false" outlineLevel="0" collapsed="false">
      <c r="A257" s="9" t="str">
        <f aca="false">Данные_ввод!A257</f>
        <v>2026-04-02</v>
      </c>
      <c r="B257" s="9" t="str">
        <f aca="false">Данные_ввод!B257</f>
        <v>S-0256</v>
      </c>
      <c r="C257" s="9" t="str">
        <f aca="false">Данные_ввод!C257</f>
        <v>Точка-2 (резервуар)</v>
      </c>
      <c r="D257" s="10" t="n">
        <f aca="false">(Данные_ввод!D257-Градуировка_Fe!$B$4)/Градуировка_Fe!$B$3</f>
        <v>0.100680759584378</v>
      </c>
      <c r="E257" s="11" t="str">
        <f aca="false">IF(D257&lt;=Нормативы!$C$2,"норма","превышение")</f>
        <v>норма</v>
      </c>
      <c r="F257" s="12" t="n">
        <f aca="false">Данные_ввод!E257</f>
        <v>6.78</v>
      </c>
      <c r="G257" s="11" t="str">
        <f aca="false">IF(AND(F257&gt;=Нормативы!$B$3,F257&lt;=Нормативы!$C$3),"норма","превышение")</f>
        <v>норма</v>
      </c>
      <c r="H257" s="13" t="n">
        <f aca="false">Данные_ввод!G257</f>
        <v>682</v>
      </c>
      <c r="I257" s="11" t="str">
        <f aca="false">IF(H257&lt;=Нормативы!$C$4,"норма","превышение")</f>
        <v>норма</v>
      </c>
      <c r="J257" s="11" t="str">
        <f aca="false">IF(AND(E257="норма",G257="норма",I257="норма"),"Проба соответствует","Проба не соответствует")</f>
        <v>Проба соответствует</v>
      </c>
    </row>
    <row r="258" customFormat="false" ht="15" hidden="false" customHeight="false" outlineLevel="0" collapsed="false">
      <c r="A258" s="9" t="str">
        <f aca="false">Данные_ввод!A258</f>
        <v>2026-04-03</v>
      </c>
      <c r="B258" s="9" t="str">
        <f aca="false">Данные_ввод!B258</f>
        <v>S-0257</v>
      </c>
      <c r="C258" s="9" t="str">
        <f aca="false">Данные_ввод!C258</f>
        <v>Точка-2 (резервуар)</v>
      </c>
      <c r="D258" s="10" t="n">
        <f aca="false">(Данные_ввод!D258-Градуировка_Fe!$B$4)/Градуировка_Fe!$B$3</f>
        <v>0.0599546160277081</v>
      </c>
      <c r="E258" s="11" t="str">
        <f aca="false">IF(D258&lt;=Нормативы!$C$2,"норма","превышение")</f>
        <v>норма</v>
      </c>
      <c r="F258" s="12" t="n">
        <f aca="false">Данные_ввод!E258</f>
        <v>7.43</v>
      </c>
      <c r="G258" s="11" t="str">
        <f aca="false">IF(AND(F258&gt;=Нормативы!$B$3,F258&lt;=Нормативы!$C$3),"норма","превышение")</f>
        <v>норма</v>
      </c>
      <c r="H258" s="13" t="n">
        <f aca="false">Данные_ввод!G258</f>
        <v>520</v>
      </c>
      <c r="I258" s="11" t="str">
        <f aca="false">IF(H258&lt;=Нормативы!$C$4,"норма","превышение")</f>
        <v>норма</v>
      </c>
      <c r="J258" s="11" t="str">
        <f aca="false">IF(AND(E258="норма",G258="норма",I258="норма"),"Проба соответствует","Проба не соответствует")</f>
        <v>Проба соответствует</v>
      </c>
    </row>
    <row r="259" customFormat="false" ht="15" hidden="false" customHeight="false" outlineLevel="0" collapsed="false">
      <c r="A259" s="9" t="str">
        <f aca="false">Данные_ввод!A259</f>
        <v>2026-04-03</v>
      </c>
      <c r="B259" s="9" t="str">
        <f aca="false">Данные_ввод!B259</f>
        <v>S-0258</v>
      </c>
      <c r="C259" s="9" t="str">
        <f aca="false">Данные_ввод!C259</f>
        <v>Точка-2 (резервуар)</v>
      </c>
      <c r="D259" s="10" t="n">
        <f aca="false">(Данные_ввод!D259-Градуировка_Fe!$B$4)/Градуировка_Fe!$B$3</f>
        <v>0.210199450615072</v>
      </c>
      <c r="E259" s="11" t="str">
        <f aca="false">IF(D259&lt;=Нормативы!$C$2,"норма","превышение")</f>
        <v>норма</v>
      </c>
      <c r="F259" s="12" t="n">
        <f aca="false">Данные_ввод!E259</f>
        <v>7.53</v>
      </c>
      <c r="G259" s="11" t="str">
        <f aca="false">IF(AND(F259&gt;=Нормативы!$B$3,F259&lt;=Нормативы!$C$3),"норма","превышение")</f>
        <v>норма</v>
      </c>
      <c r="H259" s="13" t="n">
        <f aca="false">Данные_ввод!G259</f>
        <v>615</v>
      </c>
      <c r="I259" s="11" t="str">
        <f aca="false">IF(H259&lt;=Нормативы!$C$4,"норма","превышение")</f>
        <v>норма</v>
      </c>
      <c r="J259" s="11" t="str">
        <f aca="false">IF(AND(E259="норма",G259="норма",I259="норма"),"Проба соответствует","Проба не соответствует")</f>
        <v>Проба соответствует</v>
      </c>
    </row>
    <row r="260" customFormat="false" ht="15" hidden="false" customHeight="false" outlineLevel="0" collapsed="false">
      <c r="A260" s="9" t="str">
        <f aca="false">Данные_ввод!A260</f>
        <v>2026-04-03</v>
      </c>
      <c r="B260" s="9" t="str">
        <f aca="false">Данные_ввод!B260</f>
        <v>S-0259</v>
      </c>
      <c r="C260" s="9" t="str">
        <f aca="false">Данные_ввод!C260</f>
        <v>Точка-1 (скважина)</v>
      </c>
      <c r="D260" s="10" t="n">
        <f aca="false">(Данные_ввод!D260-Градуировка_Fe!$B$4)/Градуировка_Fe!$B$3</f>
        <v>0.172339663203153</v>
      </c>
      <c r="E260" s="11" t="str">
        <f aca="false">IF(D260&lt;=Нормативы!$C$2,"норма","превышение")</f>
        <v>норма</v>
      </c>
      <c r="F260" s="12" t="n">
        <f aca="false">Данные_ввод!E260</f>
        <v>6.82</v>
      </c>
      <c r="G260" s="11" t="str">
        <f aca="false">IF(AND(F260&gt;=Нормативы!$B$3,F260&lt;=Нормативы!$C$3),"норма","превышение")</f>
        <v>норма</v>
      </c>
      <c r="H260" s="13" t="n">
        <f aca="false">Данные_ввод!G260</f>
        <v>494</v>
      </c>
      <c r="I260" s="11" t="str">
        <f aca="false">IF(H260&lt;=Нормативы!$C$4,"норма","превышение")</f>
        <v>норма</v>
      </c>
      <c r="J260" s="11" t="str">
        <f aca="false">IF(AND(E260="норма",G260="норма",I260="норма"),"Проба соответствует","Проба не соответствует")</f>
        <v>Проба соответствует</v>
      </c>
    </row>
    <row r="261" customFormat="false" ht="15" hidden="false" customHeight="false" outlineLevel="0" collapsed="false">
      <c r="A261" s="9" t="str">
        <f aca="false">Данные_ввод!A261</f>
        <v>2026-04-03</v>
      </c>
      <c r="B261" s="9" t="str">
        <f aca="false">Данные_ввод!B261</f>
        <v>S-0260</v>
      </c>
      <c r="C261" s="9" t="str">
        <f aca="false">Данные_ввод!C261</f>
        <v>Точка-1 (скважина)</v>
      </c>
      <c r="D261" s="10" t="n">
        <f aca="false">(Данные_ввод!D261-Градуировка_Fe!$B$4)/Градуировка_Fe!$B$3</f>
        <v>0.216171025916637</v>
      </c>
      <c r="E261" s="11" t="str">
        <f aca="false">IF(D261&lt;=Нормативы!$C$2,"норма","превышение")</f>
        <v>норма</v>
      </c>
      <c r="F261" s="12" t="n">
        <f aca="false">Данные_ввод!E261</f>
        <v>6.85</v>
      </c>
      <c r="G261" s="11" t="str">
        <f aca="false">IF(AND(F261&gt;=Нормативы!$B$3,F261&lt;=Нормативы!$C$3),"норма","превышение")</f>
        <v>норма</v>
      </c>
      <c r="H261" s="13" t="n">
        <f aca="false">Данные_ввод!G261</f>
        <v>512</v>
      </c>
      <c r="I261" s="11" t="str">
        <f aca="false">IF(H261&lt;=Нормативы!$C$4,"норма","превышение")</f>
        <v>норма</v>
      </c>
      <c r="J261" s="11" t="str">
        <f aca="false">IF(AND(E261="норма",G261="норма",I261="норма"),"Проба соответствует","Проба не соответствует")</f>
        <v>Проба соответствует</v>
      </c>
    </row>
    <row r="262" customFormat="false" ht="15" hidden="false" customHeight="false" outlineLevel="0" collapsed="false">
      <c r="A262" s="9" t="str">
        <f aca="false">Данные_ввод!A262</f>
        <v>2026-04-06</v>
      </c>
      <c r="B262" s="9" t="str">
        <f aca="false">Данные_ввод!B262</f>
        <v>S-0261</v>
      </c>
      <c r="C262" s="9" t="str">
        <f aca="false">Данные_ввод!C262</f>
        <v>Точка-1 (скважина)</v>
      </c>
      <c r="D262" s="10" t="n">
        <f aca="false">(Данные_ввод!D262-Градуировка_Fe!$B$4)/Градуировка_Fe!$B$3</f>
        <v>0.181774752179625</v>
      </c>
      <c r="E262" s="11" t="str">
        <f aca="false">IF(D262&lt;=Нормативы!$C$2,"норма","превышение")</f>
        <v>норма</v>
      </c>
      <c r="F262" s="12" t="n">
        <f aca="false">Данные_ввод!E262</f>
        <v>6.38</v>
      </c>
      <c r="G262" s="11" t="str">
        <f aca="false">IF(AND(F262&gt;=Нормативы!$B$3,F262&lt;=Нормативы!$C$3),"норма","превышение")</f>
        <v>норма</v>
      </c>
      <c r="H262" s="13" t="n">
        <f aca="false">Данные_ввод!G262</f>
        <v>537</v>
      </c>
      <c r="I262" s="11" t="str">
        <f aca="false">IF(H262&lt;=Нормативы!$C$4,"норма","превышение")</f>
        <v>норма</v>
      </c>
      <c r="J262" s="11" t="str">
        <f aca="false">IF(AND(E262="норма",G262="норма",I262="норма"),"Проба соответствует","Проба не соответствует")</f>
        <v>Проба соответствует</v>
      </c>
    </row>
    <row r="263" customFormat="false" ht="15" hidden="false" customHeight="false" outlineLevel="0" collapsed="false">
      <c r="A263" s="9" t="str">
        <f aca="false">Данные_ввод!A263</f>
        <v>2026-04-06</v>
      </c>
      <c r="B263" s="9" t="str">
        <f aca="false">Данные_ввод!B263</f>
        <v>S-0262</v>
      </c>
      <c r="C263" s="9" t="str">
        <f aca="false">Данные_ввод!C263</f>
        <v>Точка-1 (скважина)</v>
      </c>
      <c r="D263" s="10" t="n">
        <f aca="false">(Данные_ввод!D263-Градуировка_Fe!$B$4)/Градуировка_Fe!$B$3</f>
        <v>0.13782395796011</v>
      </c>
      <c r="E263" s="11" t="str">
        <f aca="false">IF(D263&lt;=Нормативы!$C$2,"норма","превышение")</f>
        <v>норма</v>
      </c>
      <c r="F263" s="12" t="n">
        <f aca="false">Данные_ввод!E263</f>
        <v>7.06</v>
      </c>
      <c r="G263" s="11" t="str">
        <f aca="false">IF(AND(F263&gt;=Нормативы!$B$3,F263&lt;=Нормативы!$C$3),"норма","превышение")</f>
        <v>норма</v>
      </c>
      <c r="H263" s="13" t="n">
        <f aca="false">Данные_ввод!G263</f>
        <v>690</v>
      </c>
      <c r="I263" s="11" t="str">
        <f aca="false">IF(H263&lt;=Нормативы!$C$4,"норма","превышение")</f>
        <v>норма</v>
      </c>
      <c r="J263" s="11" t="str">
        <f aca="false">IF(AND(E263="норма",G263="норма",I263="норма"),"Проба соответствует","Проба не соответствует")</f>
        <v>Проба соответствует</v>
      </c>
    </row>
    <row r="264" customFormat="false" ht="15" hidden="false" customHeight="false" outlineLevel="0" collapsed="false">
      <c r="A264" s="9" t="str">
        <f aca="false">Данные_ввод!A264</f>
        <v>2026-04-06</v>
      </c>
      <c r="B264" s="9" t="str">
        <f aca="false">Данные_ввод!B264</f>
        <v>S-0263</v>
      </c>
      <c r="C264" s="9" t="str">
        <f aca="false">Данные_ввод!C264</f>
        <v>Точка-1 (скважина)</v>
      </c>
      <c r="D264" s="10" t="n">
        <f aca="false">(Данные_ввод!D264-Градуировка_Fe!$B$4)/Градуировка_Fe!$B$3</f>
        <v>0.100441896572316</v>
      </c>
      <c r="E264" s="11" t="str">
        <f aca="false">IF(D264&lt;=Нормативы!$C$2,"норма","превышение")</f>
        <v>норма</v>
      </c>
      <c r="F264" s="12" t="n">
        <f aca="false">Данные_ввод!E264</f>
        <v>7.8</v>
      </c>
      <c r="G264" s="11" t="str">
        <f aca="false">IF(AND(F264&gt;=Нормативы!$B$3,F264&lt;=Нормативы!$C$3),"норма","превышение")</f>
        <v>норма</v>
      </c>
      <c r="H264" s="13" t="n">
        <f aca="false">Данные_ввод!G264</f>
        <v>550</v>
      </c>
      <c r="I264" s="11" t="str">
        <f aca="false">IF(H264&lt;=Нормативы!$C$4,"норма","превышение")</f>
        <v>норма</v>
      </c>
      <c r="J264" s="11" t="str">
        <f aca="false">IF(AND(E264="норма",G264="норма",I264="норма"),"Проба соответствует","Проба не соответствует")</f>
        <v>Проба соответствует</v>
      </c>
    </row>
    <row r="265" customFormat="false" ht="15" hidden="false" customHeight="false" outlineLevel="0" collapsed="false">
      <c r="A265" s="9" t="str">
        <f aca="false">Данные_ввод!A265</f>
        <v>2026-04-06</v>
      </c>
      <c r="B265" s="9" t="str">
        <f aca="false">Данные_ввод!B265</f>
        <v>S-0264</v>
      </c>
      <c r="C265" s="9" t="str">
        <f aca="false">Данные_ввод!C265</f>
        <v>Точка-2 (резервуар)</v>
      </c>
      <c r="D265" s="10" t="n">
        <f aca="false">(Данные_ввод!D265-Градуировка_Fe!$B$4)/Градуировка_Fe!$B$3</f>
        <v>0.171742505672997</v>
      </c>
      <c r="E265" s="11" t="str">
        <f aca="false">IF(D265&lt;=Нормативы!$C$2,"норма","превышение")</f>
        <v>норма</v>
      </c>
      <c r="F265" s="12" t="n">
        <f aca="false">Данные_ввод!E265</f>
        <v>7.3</v>
      </c>
      <c r="G265" s="11" t="str">
        <f aca="false">IF(AND(F265&gt;=Нормативы!$B$3,F265&lt;=Нормативы!$C$3),"норма","превышение")</f>
        <v>норма</v>
      </c>
      <c r="H265" s="13" t="n">
        <f aca="false">Данные_ввод!G265</f>
        <v>751</v>
      </c>
      <c r="I265" s="11" t="str">
        <f aca="false">IF(H265&lt;=Нормативы!$C$4,"норма","превышение")</f>
        <v>норма</v>
      </c>
      <c r="J265" s="11" t="str">
        <f aca="false">IF(AND(E265="норма",G265="норма",I265="норма"),"Проба соответствует","Проба не соответствует")</f>
        <v>Проба соответствует</v>
      </c>
    </row>
    <row r="266" customFormat="false" ht="15" hidden="false" customHeight="false" outlineLevel="0" collapsed="false">
      <c r="A266" s="9" t="str">
        <f aca="false">Данные_ввод!A266</f>
        <v>2026-04-07</v>
      </c>
      <c r="B266" s="9" t="str">
        <f aca="false">Данные_ввод!B266</f>
        <v>S-0265</v>
      </c>
      <c r="C266" s="9" t="str">
        <f aca="false">Данные_ввод!C266</f>
        <v>Точка-2 (резервуар)</v>
      </c>
      <c r="D266" s="10" t="n">
        <f aca="false">(Данные_ввод!D266-Градуировка_Fe!$B$4)/Градуировка_Fe!$B$3</f>
        <v>0.0635375612086468</v>
      </c>
      <c r="E266" s="11" t="str">
        <f aca="false">IF(D266&lt;=Нормативы!$C$2,"норма","превышение")</f>
        <v>норма</v>
      </c>
      <c r="F266" s="12" t="n">
        <f aca="false">Данные_ввод!E266</f>
        <v>6.7</v>
      </c>
      <c r="G266" s="11" t="str">
        <f aca="false">IF(AND(F266&gt;=Нормативы!$B$3,F266&lt;=Нормативы!$C$3),"норма","превышение")</f>
        <v>норма</v>
      </c>
      <c r="H266" s="13" t="n">
        <f aca="false">Данные_ввод!G266</f>
        <v>472</v>
      </c>
      <c r="I266" s="11" t="str">
        <f aca="false">IF(H266&lt;=Нормативы!$C$4,"норма","превышение")</f>
        <v>норма</v>
      </c>
      <c r="J266" s="11" t="str">
        <f aca="false">IF(AND(E266="норма",G266="норма",I266="норма"),"Проба соответствует","Проба не соответствует")</f>
        <v>Проба соответствует</v>
      </c>
    </row>
    <row r="267" customFormat="false" ht="15" hidden="false" customHeight="false" outlineLevel="0" collapsed="false">
      <c r="A267" s="9" t="str">
        <f aca="false">Данные_ввод!A267</f>
        <v>2026-04-07</v>
      </c>
      <c r="B267" s="9" t="str">
        <f aca="false">Данные_ввод!B267</f>
        <v>S-0266</v>
      </c>
      <c r="C267" s="9" t="str">
        <f aca="false">Данные_ввод!C267</f>
        <v>Точка-1 (скважина)</v>
      </c>
      <c r="D267" s="10" t="n">
        <f aca="false">(Данные_ввод!D267-Градуировка_Fe!$B$4)/Градуировка_Fe!$B$3</f>
        <v>0.0929177116923444</v>
      </c>
      <c r="E267" s="11" t="str">
        <f aca="false">IF(D267&lt;=Нормативы!$C$2,"норма","превышение")</f>
        <v>норма</v>
      </c>
      <c r="F267" s="12" t="n">
        <f aca="false">Данные_ввод!E267</f>
        <v>7.56</v>
      </c>
      <c r="G267" s="11" t="str">
        <f aca="false">IF(AND(F267&gt;=Нормативы!$B$3,F267&lt;=Нормативы!$C$3),"норма","превышение")</f>
        <v>норма</v>
      </c>
      <c r="H267" s="13" t="n">
        <f aca="false">Данные_ввод!G267</f>
        <v>683</v>
      </c>
      <c r="I267" s="11" t="str">
        <f aca="false">IF(H267&lt;=Нормативы!$C$4,"норма","превышение")</f>
        <v>норма</v>
      </c>
      <c r="J267" s="11" t="str">
        <f aca="false">IF(AND(E267="норма",G267="норма",I267="норма"),"Проба соответствует","Проба не соответствует")</f>
        <v>Проба соответствует</v>
      </c>
    </row>
    <row r="268" customFormat="false" ht="15" hidden="false" customHeight="false" outlineLevel="0" collapsed="false">
      <c r="A268" s="9" t="str">
        <f aca="false">Данные_ввод!A268</f>
        <v>2026-04-07</v>
      </c>
      <c r="B268" s="9" t="str">
        <f aca="false">Данные_ввод!B268</f>
        <v>S-0267</v>
      </c>
      <c r="C268" s="9" t="str">
        <f aca="false">Данные_ввод!C268</f>
        <v>Точка-1 (скважина)</v>
      </c>
      <c r="D268" s="10" t="n">
        <f aca="false">(Данные_ввод!D268-Градуировка_Fe!$B$4)/Градуировка_Fe!$B$3</f>
        <v>0.175206019347904</v>
      </c>
      <c r="E268" s="11" t="str">
        <f aca="false">IF(D268&lt;=Нормативы!$C$2,"норма","превышение")</f>
        <v>норма</v>
      </c>
      <c r="F268" s="12" t="n">
        <f aca="false">Данные_ввод!E268</f>
        <v>7.26</v>
      </c>
      <c r="G268" s="11" t="str">
        <f aca="false">IF(AND(F268&gt;=Нормативы!$B$3,F268&lt;=Нормативы!$C$3),"норма","превышение")</f>
        <v>норма</v>
      </c>
      <c r="H268" s="13" t="n">
        <f aca="false">Данные_ввод!G268</f>
        <v>617</v>
      </c>
      <c r="I268" s="11" t="str">
        <f aca="false">IF(H268&lt;=Нормативы!$C$4,"норма","превышение")</f>
        <v>норма</v>
      </c>
      <c r="J268" s="11" t="str">
        <f aca="false">IF(AND(E268="норма",G268="норма",I268="норма"),"Проба соответствует","Проба не соответствует")</f>
        <v>Проба соответствует</v>
      </c>
    </row>
    <row r="269" customFormat="false" ht="15" hidden="false" customHeight="false" outlineLevel="0" collapsed="false">
      <c r="A269" s="9" t="str">
        <f aca="false">Данные_ввод!A269</f>
        <v>2026-04-07</v>
      </c>
      <c r="B269" s="9" t="str">
        <f aca="false">Данные_ввод!B269</f>
        <v>S-0268</v>
      </c>
      <c r="C269" s="9" t="str">
        <f aca="false">Данные_ввод!C269</f>
        <v>Точка-1 (скважина)</v>
      </c>
      <c r="D269" s="10" t="n">
        <f aca="false">(Данные_ввод!D269-Градуировка_Fe!$B$4)/Градуировка_Fe!$B$3</f>
        <v>0.119789800549385</v>
      </c>
      <c r="E269" s="11" t="str">
        <f aca="false">IF(D269&lt;=Нормативы!$C$2,"норма","превышение")</f>
        <v>норма</v>
      </c>
      <c r="F269" s="12" t="n">
        <f aca="false">Данные_ввод!E269</f>
        <v>7.13</v>
      </c>
      <c r="G269" s="11" t="str">
        <f aca="false">IF(AND(F269&gt;=Нормативы!$B$3,F269&lt;=Нормативы!$C$3),"норма","превышение")</f>
        <v>норма</v>
      </c>
      <c r="H269" s="13" t="n">
        <f aca="false">Данные_ввод!G269</f>
        <v>683</v>
      </c>
      <c r="I269" s="11" t="str">
        <f aca="false">IF(H269&lt;=Нормативы!$C$4,"норма","превышение")</f>
        <v>норма</v>
      </c>
      <c r="J269" s="11" t="str">
        <f aca="false">IF(AND(E269="норма",G269="норма",I269="норма"),"Проба соответствует","Проба не соответствует")</f>
        <v>Проба соответствует</v>
      </c>
    </row>
    <row r="270" customFormat="false" ht="15" hidden="false" customHeight="false" outlineLevel="0" collapsed="false">
      <c r="A270" s="9" t="str">
        <f aca="false">Данные_ввод!A270</f>
        <v>2026-04-08</v>
      </c>
      <c r="B270" s="9" t="str">
        <f aca="false">Данные_ввод!B270</f>
        <v>S-0269</v>
      </c>
      <c r="C270" s="9" t="str">
        <f aca="false">Данные_ввод!C270</f>
        <v>Точка-2 (резервуар)</v>
      </c>
      <c r="D270" s="10" t="n">
        <f aca="false">(Данные_ввод!D270-Градуировка_Fe!$B$4)/Градуировка_Fe!$B$3</f>
        <v>0.101994506150723</v>
      </c>
      <c r="E270" s="11" t="str">
        <f aca="false">IF(D270&lt;=Нормативы!$C$2,"норма","превышение")</f>
        <v>норма</v>
      </c>
      <c r="F270" s="12" t="n">
        <f aca="false">Данные_ввод!E270</f>
        <v>7.4</v>
      </c>
      <c r="G270" s="11" t="str">
        <f aca="false">IF(AND(F270&gt;=Нормативы!$B$3,F270&lt;=Нормативы!$C$3),"норма","превышение")</f>
        <v>норма</v>
      </c>
      <c r="H270" s="13" t="n">
        <f aca="false">Данные_ввод!G270</f>
        <v>679</v>
      </c>
      <c r="I270" s="11" t="str">
        <f aca="false">IF(H270&lt;=Нормативы!$C$4,"норма","превышение")</f>
        <v>норма</v>
      </c>
      <c r="J270" s="11" t="str">
        <f aca="false">IF(AND(E270="норма",G270="норма",I270="норма"),"Проба соответствует","Проба не соответствует")</f>
        <v>Проба соответствует</v>
      </c>
    </row>
    <row r="271" customFormat="false" ht="15" hidden="false" customHeight="false" outlineLevel="0" collapsed="false">
      <c r="A271" s="9" t="str">
        <f aca="false">Данные_ввод!A271</f>
        <v>2026-04-08</v>
      </c>
      <c r="B271" s="9" t="str">
        <f aca="false">Данные_ввод!B271</f>
        <v>S-0270</v>
      </c>
      <c r="C271" s="9" t="str">
        <f aca="false">Данные_ввод!C271</f>
        <v>Точка-3 (сброс)</v>
      </c>
      <c r="D271" s="10" t="n">
        <f aca="false">(Данные_ввод!D271-Градуировка_Fe!$B$4)/Градуировка_Fe!$B$3</f>
        <v>0.250925594171743</v>
      </c>
      <c r="E271" s="11" t="str">
        <f aca="false">IF(D271&lt;=Нормативы!$C$2,"норма","превышение")</f>
        <v>норма</v>
      </c>
      <c r="F271" s="12" t="n">
        <f aca="false">Данные_ввод!E271</f>
        <v>7.4</v>
      </c>
      <c r="G271" s="11" t="str">
        <f aca="false">IF(AND(F271&gt;=Нормативы!$B$3,F271&lt;=Нормативы!$C$3),"норма","превышение")</f>
        <v>норма</v>
      </c>
      <c r="H271" s="13" t="n">
        <f aca="false">Данные_ввод!G271</f>
        <v>992</v>
      </c>
      <c r="I271" s="11" t="str">
        <f aca="false">IF(H271&lt;=Нормативы!$C$4,"норма","превышение")</f>
        <v>норма</v>
      </c>
      <c r="J271" s="11" t="str">
        <f aca="false">IF(AND(E271="норма",G271="норма",I271="норма"),"Проба соответствует","Проба не соответствует")</f>
        <v>Проба соответствует</v>
      </c>
    </row>
    <row r="272" customFormat="false" ht="15" hidden="false" customHeight="false" outlineLevel="0" collapsed="false">
      <c r="A272" s="9" t="str">
        <f aca="false">Данные_ввод!A272</f>
        <v>2026-04-08</v>
      </c>
      <c r="B272" s="9" t="str">
        <f aca="false">Данные_ввод!B272</f>
        <v>S-0271</v>
      </c>
      <c r="C272" s="9" t="str">
        <f aca="false">Данные_ввод!C272</f>
        <v>Точка-1 (скважина)</v>
      </c>
      <c r="D272" s="10" t="n">
        <f aca="false">(Данные_ввод!D272-Градуировка_Fe!$B$4)/Градуировка_Fe!$B$3</f>
        <v>0.253314224292368</v>
      </c>
      <c r="E272" s="11" t="str">
        <f aca="false">IF(D272&lt;=Нормативы!$C$2,"норма","превышение")</f>
        <v>норма</v>
      </c>
      <c r="F272" s="12" t="n">
        <f aca="false">Данные_ввод!E272</f>
        <v>7.7</v>
      </c>
      <c r="G272" s="11" t="str">
        <f aca="false">IF(AND(F272&gt;=Нормативы!$B$3,F272&lt;=Нормативы!$C$3),"норма","превышение")</f>
        <v>норма</v>
      </c>
      <c r="H272" s="13" t="n">
        <f aca="false">Данные_ввод!G272</f>
        <v>744</v>
      </c>
      <c r="I272" s="11" t="str">
        <f aca="false">IF(H272&lt;=Нормативы!$C$4,"норма","превышение")</f>
        <v>норма</v>
      </c>
      <c r="J272" s="11" t="str">
        <f aca="false">IF(AND(E272="норма",G272="норма",I272="норма"),"Проба соответствует","Проба не соответствует")</f>
        <v>Проба соответствует</v>
      </c>
    </row>
    <row r="273" customFormat="false" ht="15" hidden="false" customHeight="false" outlineLevel="0" collapsed="false">
      <c r="A273" s="9" t="str">
        <f aca="false">Данные_ввод!A273</f>
        <v>2026-04-08</v>
      </c>
      <c r="B273" s="9" t="str">
        <f aca="false">Данные_ввод!B273</f>
        <v>S-0272</v>
      </c>
      <c r="C273" s="9" t="str">
        <f aca="false">Данные_ввод!C273</f>
        <v>Точка-2 (резервуар)</v>
      </c>
      <c r="D273" s="10" t="n">
        <f aca="false">(Данные_ввод!D273-Градуировка_Fe!$B$4)/Градуировка_Fe!$B$3</f>
        <v>0.350292607189777</v>
      </c>
      <c r="E273" s="11" t="str">
        <f aca="false">IF(D273&lt;=Нормативы!$C$2,"норма","превышение")</f>
        <v>превышение</v>
      </c>
      <c r="F273" s="12" t="n">
        <f aca="false">Данные_ввод!E273</f>
        <v>7.36</v>
      </c>
      <c r="G273" s="11" t="str">
        <f aca="false">IF(AND(F273&gt;=Нормативы!$B$3,F273&lt;=Нормативы!$C$3),"норма","превышение")</f>
        <v>норма</v>
      </c>
      <c r="H273" s="13" t="n">
        <f aca="false">Данные_ввод!G273</f>
        <v>536</v>
      </c>
      <c r="I273" s="11" t="str">
        <f aca="false">IF(H273&lt;=Нормативы!$C$4,"норма","превышение")</f>
        <v>норма</v>
      </c>
      <c r="J273" s="11" t="str">
        <f aca="false">IF(AND(E273="норма",G273="норма",I273="норма"),"Проба соответствует","Проба не соответствует")</f>
        <v>Проба не соответствует</v>
      </c>
    </row>
    <row r="274" customFormat="false" ht="15" hidden="false" customHeight="false" outlineLevel="0" collapsed="false">
      <c r="A274" s="9" t="str">
        <f aca="false">Данные_ввод!A274</f>
        <v>2026-04-09</v>
      </c>
      <c r="B274" s="9" t="str">
        <f aca="false">Данные_ввод!B274</f>
        <v>S-0273</v>
      </c>
      <c r="C274" s="9" t="str">
        <f aca="false">Данные_ввод!C274</f>
        <v>Точка-3 (сброс)</v>
      </c>
      <c r="D274" s="10" t="n">
        <f aca="false">(Данные_ввод!D274-Градуировка_Fe!$B$4)/Градуировка_Fe!$B$3</f>
        <v>0.221664875194076</v>
      </c>
      <c r="E274" s="11" t="str">
        <f aca="false">IF(D274&lt;=Нормативы!$C$2,"норма","превышение")</f>
        <v>норма</v>
      </c>
      <c r="F274" s="12" t="n">
        <f aca="false">Данные_ввод!E274</f>
        <v>5.95</v>
      </c>
      <c r="G274" s="11" t="str">
        <f aca="false">IF(AND(F274&gt;=Нормативы!$B$3,F274&lt;=Нормативы!$C$3),"норма","превышение")</f>
        <v>превышение</v>
      </c>
      <c r="H274" s="13" t="n">
        <f aca="false">Данные_ввод!G274</f>
        <v>838</v>
      </c>
      <c r="I274" s="11" t="str">
        <f aca="false">IF(H274&lt;=Нормативы!$C$4,"норма","превышение")</f>
        <v>норма</v>
      </c>
      <c r="J274" s="11" t="str">
        <f aca="false">IF(AND(E274="норма",G274="норма",I274="норма"),"Проба соответствует","Проба не соответствует")</f>
        <v>Проба не соответствует</v>
      </c>
    </row>
    <row r="275" customFormat="false" ht="15" hidden="false" customHeight="false" outlineLevel="0" collapsed="false">
      <c r="A275" s="9" t="str">
        <f aca="false">Данные_ввод!A275</f>
        <v>2026-04-09</v>
      </c>
      <c r="B275" s="9" t="str">
        <f aca="false">Данные_ввод!B275</f>
        <v>S-0274</v>
      </c>
      <c r="C275" s="9" t="str">
        <f aca="false">Данные_ввод!C275</f>
        <v>Точка-1 (скважина)</v>
      </c>
      <c r="D275" s="10" t="n">
        <f aca="false">(Данные_ввод!D275-Градуировка_Fe!$B$4)/Градуировка_Fe!$B$3</f>
        <v>0.0268720888570405</v>
      </c>
      <c r="E275" s="11" t="str">
        <f aca="false">IF(D275&lt;=Нормативы!$C$2,"норма","превышение")</f>
        <v>норма</v>
      </c>
      <c r="F275" s="12" t="n">
        <f aca="false">Данные_ввод!E275</f>
        <v>7.34</v>
      </c>
      <c r="G275" s="11" t="str">
        <f aca="false">IF(AND(F275&gt;=Нормативы!$B$3,F275&lt;=Нормативы!$C$3),"норма","превышение")</f>
        <v>норма</v>
      </c>
      <c r="H275" s="13" t="n">
        <f aca="false">Данные_ввод!G275</f>
        <v>640</v>
      </c>
      <c r="I275" s="11" t="str">
        <f aca="false">IF(H275&lt;=Нормативы!$C$4,"норма","превышение")</f>
        <v>норма</v>
      </c>
      <c r="J275" s="11" t="str">
        <f aca="false">IF(AND(E275="норма",G275="норма",I275="норма"),"Проба соответствует","Проба не соответствует")</f>
        <v>Проба соответствует</v>
      </c>
    </row>
    <row r="276" customFormat="false" ht="15" hidden="false" customHeight="false" outlineLevel="0" collapsed="false">
      <c r="A276" s="9" t="str">
        <f aca="false">Данные_ввод!A276</f>
        <v>2026-04-09</v>
      </c>
      <c r="B276" s="9" t="str">
        <f aca="false">Данные_ввод!B276</f>
        <v>S-0275</v>
      </c>
      <c r="C276" s="9" t="str">
        <f aca="false">Данные_ввод!C276</f>
        <v>Точка-1 (скважина)</v>
      </c>
      <c r="D276" s="10" t="n">
        <f aca="false">(Данные_ввод!D276-Градуировка_Fe!$B$4)/Градуировка_Fe!$B$3</f>
        <v>0.150603129105458</v>
      </c>
      <c r="E276" s="11" t="str">
        <f aca="false">IF(D276&lt;=Нормативы!$C$2,"норма","превышение")</f>
        <v>норма</v>
      </c>
      <c r="F276" s="12" t="n">
        <f aca="false">Данные_ввод!E276</f>
        <v>7.44</v>
      </c>
      <c r="G276" s="11" t="str">
        <f aca="false">IF(AND(F276&gt;=Нормативы!$B$3,F276&lt;=Нормативы!$C$3),"норма","превышение")</f>
        <v>норма</v>
      </c>
      <c r="H276" s="13" t="n">
        <f aca="false">Данные_ввод!G276</f>
        <v>198</v>
      </c>
      <c r="I276" s="11" t="str">
        <f aca="false">IF(H276&lt;=Нормативы!$C$4,"норма","превышение")</f>
        <v>норма</v>
      </c>
      <c r="J276" s="11" t="str">
        <f aca="false">IF(AND(E276="норма",G276="норма",I276="норма"),"Проба соответствует","Проба не соответствует")</f>
        <v>Проба соответствует</v>
      </c>
    </row>
    <row r="277" customFormat="false" ht="15" hidden="false" customHeight="false" outlineLevel="0" collapsed="false">
      <c r="A277" s="9" t="str">
        <f aca="false">Данные_ввод!A277</f>
        <v>2026-04-09</v>
      </c>
      <c r="B277" s="9" t="str">
        <f aca="false">Данные_ввод!B277</f>
        <v>S-0276</v>
      </c>
      <c r="C277" s="9" t="str">
        <f aca="false">Данные_ввод!C277</f>
        <v>Точка-2 (резервуар)</v>
      </c>
      <c r="D277" s="10" t="n">
        <f aca="false">(Данные_ввод!D277-Градуировка_Fe!$B$4)/Градуировка_Fe!$B$3</f>
        <v>0.133524423742983</v>
      </c>
      <c r="E277" s="11" t="str">
        <f aca="false">IF(D277&lt;=Нормативы!$C$2,"норма","превышение")</f>
        <v>норма</v>
      </c>
      <c r="F277" s="12" t="n">
        <f aca="false">Данные_ввод!E277</f>
        <v>6.21</v>
      </c>
      <c r="G277" s="11" t="str">
        <f aca="false">IF(AND(F277&gt;=Нормативы!$B$3,F277&lt;=Нормативы!$C$3),"норма","превышение")</f>
        <v>норма</v>
      </c>
      <c r="H277" s="13" t="n">
        <f aca="false">Данные_ввод!G277</f>
        <v>704</v>
      </c>
      <c r="I277" s="11" t="str">
        <f aca="false">IF(H277&lt;=Нормативы!$C$4,"норма","превышение")</f>
        <v>норма</v>
      </c>
      <c r="J277" s="11" t="str">
        <f aca="false">IF(AND(E277="норма",G277="норма",I277="норма"),"Проба соответствует","Проба не соответствует")</f>
        <v>Проба соответствует</v>
      </c>
    </row>
    <row r="278" customFormat="false" ht="15" hidden="false" customHeight="false" outlineLevel="0" collapsed="false">
      <c r="A278" s="9" t="str">
        <f aca="false">Данные_ввод!A278</f>
        <v>2026-04-10</v>
      </c>
      <c r="B278" s="9" t="str">
        <f aca="false">Данные_ввод!B278</f>
        <v>S-0277</v>
      </c>
      <c r="C278" s="9" t="str">
        <f aca="false">Данные_ввод!C278</f>
        <v>Точка-3 (сброс)</v>
      </c>
      <c r="D278" s="10" t="n">
        <f aca="false">(Данные_ввод!D278-Градуировка_Fe!$B$4)/Градуировка_Fe!$B$3</f>
        <v>0.316493490982921</v>
      </c>
      <c r="E278" s="11" t="str">
        <f aca="false">IF(D278&lt;=Нормативы!$C$2,"норма","превышение")</f>
        <v>превышение</v>
      </c>
      <c r="F278" s="12" t="n">
        <f aca="false">Данные_ввод!E278</f>
        <v>7.1</v>
      </c>
      <c r="G278" s="11" t="str">
        <f aca="false">IF(AND(F278&gt;=Нормативы!$B$3,F278&lt;=Нормативы!$C$3),"норма","превышение")</f>
        <v>норма</v>
      </c>
      <c r="H278" s="13" t="n">
        <f aca="false">Данные_ввод!G278</f>
        <v>652</v>
      </c>
      <c r="I278" s="11" t="str">
        <f aca="false">IF(H278&lt;=Нормативы!$C$4,"норма","превышение")</f>
        <v>норма</v>
      </c>
      <c r="J278" s="11" t="str">
        <f aca="false">IF(AND(E278="норма",G278="норма",I278="норма"),"Проба соответствует","Проба не соответствует")</f>
        <v>Проба не соответствует</v>
      </c>
    </row>
    <row r="279" customFormat="false" ht="15" hidden="false" customHeight="false" outlineLevel="0" collapsed="false">
      <c r="A279" s="9" t="str">
        <f aca="false">Данные_ввод!A279</f>
        <v>2026-04-10</v>
      </c>
      <c r="B279" s="9" t="str">
        <f aca="false">Данные_ввод!B279</f>
        <v>S-0278</v>
      </c>
      <c r="C279" s="9" t="str">
        <f aca="false">Данные_ввод!C279</f>
        <v>Точка-2 (резервуар)</v>
      </c>
      <c r="D279" s="10" t="n">
        <f aca="false">(Данные_ввод!D279-Градуировка_Fe!$B$4)/Градуировка_Fe!$B$3</f>
        <v>0.147378478442613</v>
      </c>
      <c r="E279" s="11" t="str">
        <f aca="false">IF(D279&lt;=Нормативы!$C$2,"норма","превышение")</f>
        <v>норма</v>
      </c>
      <c r="F279" s="12" t="n">
        <f aca="false">Данные_ввод!E279</f>
        <v>7.42</v>
      </c>
      <c r="G279" s="11" t="str">
        <f aca="false">IF(AND(F279&gt;=Нормативы!$B$3,F279&lt;=Нормативы!$C$3),"норма","превышение")</f>
        <v>норма</v>
      </c>
      <c r="H279" s="13" t="n">
        <f aca="false">Данные_ввод!G279</f>
        <v>686</v>
      </c>
      <c r="I279" s="11" t="str">
        <f aca="false">IF(H279&lt;=Нормативы!$C$4,"норма","превышение")</f>
        <v>норма</v>
      </c>
      <c r="J279" s="11" t="str">
        <f aca="false">IF(AND(E279="норма",G279="норма",I279="норма"),"Проба соответствует","Проба не соответствует")</f>
        <v>Проба соответствует</v>
      </c>
    </row>
    <row r="280" customFormat="false" ht="15" hidden="false" customHeight="false" outlineLevel="0" collapsed="false">
      <c r="A280" s="9" t="str">
        <f aca="false">Данные_ввод!A280</f>
        <v>2026-04-10</v>
      </c>
      <c r="B280" s="9" t="str">
        <f aca="false">Данные_ввод!B280</f>
        <v>S-0279</v>
      </c>
      <c r="C280" s="9" t="str">
        <f aca="false">Данные_ввод!C280</f>
        <v>Точка-1 (скважина)</v>
      </c>
      <c r="D280" s="10" t="n">
        <f aca="false">(Данные_ввод!D280-Градуировка_Fe!$B$4)/Градуировка_Fe!$B$3</f>
        <v>0.0778693419324018</v>
      </c>
      <c r="E280" s="11" t="str">
        <f aca="false">IF(D280&lt;=Нормативы!$C$2,"норма","превышение")</f>
        <v>норма</v>
      </c>
      <c r="F280" s="12" t="n">
        <f aca="false">Данные_ввод!E280</f>
        <v>7.1</v>
      </c>
      <c r="G280" s="11" t="str">
        <f aca="false">IF(AND(F280&gt;=Нормативы!$B$3,F280&lt;=Нормативы!$C$3),"норма","превышение")</f>
        <v>норма</v>
      </c>
      <c r="H280" s="13" t="n">
        <f aca="false">Данные_ввод!G280</f>
        <v>862</v>
      </c>
      <c r="I280" s="11" t="str">
        <f aca="false">IF(H280&lt;=Нормативы!$C$4,"норма","превышение")</f>
        <v>норма</v>
      </c>
      <c r="J280" s="11" t="str">
        <f aca="false">IF(AND(E280="норма",G280="норма",I280="норма"),"Проба соответствует","Проба не соответствует")</f>
        <v>Проба соответствует</v>
      </c>
    </row>
    <row r="281" customFormat="false" ht="15" hidden="false" customHeight="false" outlineLevel="0" collapsed="false">
      <c r="A281" s="9" t="str">
        <f aca="false">Данные_ввод!A281</f>
        <v>2026-04-10</v>
      </c>
      <c r="B281" s="9" t="str">
        <f aca="false">Данные_ввод!B281</f>
        <v>S-0280</v>
      </c>
      <c r="C281" s="9" t="str">
        <f aca="false">Данные_ввод!C281</f>
        <v>Точка-1 (скважина)</v>
      </c>
      <c r="D281" s="10" t="n">
        <f aca="false">(Данные_ввод!D281-Градуировка_Fe!$B$4)/Градуировка_Fe!$B$3</f>
        <v>0.144034396273737</v>
      </c>
      <c r="E281" s="11" t="str">
        <f aca="false">IF(D281&lt;=Нормативы!$C$2,"норма","превышение")</f>
        <v>норма</v>
      </c>
      <c r="F281" s="12" t="n">
        <f aca="false">Данные_ввод!E281</f>
        <v>7.76</v>
      </c>
      <c r="G281" s="11" t="str">
        <f aca="false">IF(AND(F281&gt;=Нормативы!$B$3,F281&lt;=Нормативы!$C$3),"норма","превышение")</f>
        <v>норма</v>
      </c>
      <c r="H281" s="13" t="n">
        <f aca="false">Данные_ввод!G281</f>
        <v>615</v>
      </c>
      <c r="I281" s="11" t="str">
        <f aca="false">IF(H281&lt;=Нормативы!$C$4,"норма","превышение")</f>
        <v>норма</v>
      </c>
      <c r="J281" s="11" t="str">
        <f aca="false">IF(AND(E281="норма",G281="норма",I281="норма"),"Проба соответствует","Проба не соответствует")</f>
        <v>Проба соответствует</v>
      </c>
    </row>
    <row r="282" customFormat="false" ht="15" hidden="false" customHeight="false" outlineLevel="0" collapsed="false">
      <c r="A282" s="9" t="str">
        <f aca="false">Данные_ввод!A282</f>
        <v>2026-04-13</v>
      </c>
      <c r="B282" s="9" t="str">
        <f aca="false">Данные_ввод!B282</f>
        <v>S-0281</v>
      </c>
      <c r="C282" s="9" t="str">
        <f aca="false">Данные_ввод!C282</f>
        <v>Точка-2 (резервуар)</v>
      </c>
      <c r="D282" s="10" t="n">
        <f aca="false">(Данные_ввод!D282-Градуировка_Fe!$B$4)/Градуировка_Fe!$B$3</f>
        <v>0.144870416815956</v>
      </c>
      <c r="E282" s="11" t="str">
        <f aca="false">IF(D282&lt;=Нормативы!$C$2,"норма","превышение")</f>
        <v>норма</v>
      </c>
      <c r="F282" s="12" t="n">
        <f aca="false">Данные_ввод!E282</f>
        <v>6.51</v>
      </c>
      <c r="G282" s="11" t="str">
        <f aca="false">IF(AND(F282&gt;=Нормативы!$B$3,F282&lt;=Нормативы!$C$3),"норма","превышение")</f>
        <v>норма</v>
      </c>
      <c r="H282" s="13" t="n">
        <f aca="false">Данные_ввод!G282</f>
        <v>531</v>
      </c>
      <c r="I282" s="11" t="str">
        <f aca="false">IF(H282&lt;=Нормативы!$C$4,"норма","превышение")</f>
        <v>норма</v>
      </c>
      <c r="J282" s="11" t="str">
        <f aca="false">IF(AND(E282="норма",G282="норма",I282="норма"),"Проба соответствует","Проба не соответствует")</f>
        <v>Проба соответствует</v>
      </c>
    </row>
    <row r="283" customFormat="false" ht="15" hidden="false" customHeight="false" outlineLevel="0" collapsed="false">
      <c r="A283" s="9" t="str">
        <f aca="false">Данные_ввод!A283</f>
        <v>2026-04-13</v>
      </c>
      <c r="B283" s="9" t="str">
        <f aca="false">Данные_ввод!B283</f>
        <v>S-0282</v>
      </c>
      <c r="C283" s="9" t="str">
        <f aca="false">Данные_ввод!C283</f>
        <v>Точка-3 (сброс)</v>
      </c>
      <c r="D283" s="10" t="n">
        <f aca="false">(Данные_ввод!D283-Градуировка_Fe!$B$4)/Градуировка_Fe!$B$3</f>
        <v>0.232055416218799</v>
      </c>
      <c r="E283" s="11" t="str">
        <f aca="false">IF(D283&lt;=Нормативы!$C$2,"норма","превышение")</f>
        <v>норма</v>
      </c>
      <c r="F283" s="12" t="n">
        <f aca="false">Данные_ввод!E283</f>
        <v>7.26</v>
      </c>
      <c r="G283" s="11" t="str">
        <f aca="false">IF(AND(F283&gt;=Нормативы!$B$3,F283&lt;=Нормативы!$C$3),"норма","превышение")</f>
        <v>норма</v>
      </c>
      <c r="H283" s="13" t="n">
        <f aca="false">Данные_ввод!G283</f>
        <v>789</v>
      </c>
      <c r="I283" s="11" t="str">
        <f aca="false">IF(H283&lt;=Нормативы!$C$4,"норма","превышение")</f>
        <v>норма</v>
      </c>
      <c r="J283" s="11" t="str">
        <f aca="false">IF(AND(E283="норма",G283="норма",I283="норма"),"Проба соответствует","Проба не соответствует")</f>
        <v>Проба соответствует</v>
      </c>
    </row>
    <row r="284" customFormat="false" ht="15" hidden="false" customHeight="false" outlineLevel="0" collapsed="false">
      <c r="A284" s="9" t="str">
        <f aca="false">Данные_ввод!A284</f>
        <v>2026-04-13</v>
      </c>
      <c r="B284" s="9" t="str">
        <f aca="false">Данные_ввод!B284</f>
        <v>S-0283</v>
      </c>
      <c r="C284" s="9" t="str">
        <f aca="false">Данные_ввод!C284</f>
        <v>Точка-2 (резервуар)</v>
      </c>
      <c r="D284" s="10" t="n">
        <f aca="false">(Данные_ввод!D284-Градуировка_Fe!$B$4)/Градуировка_Fe!$B$3</f>
        <v>0.0867072733787173</v>
      </c>
      <c r="E284" s="11" t="str">
        <f aca="false">IF(D284&lt;=Нормативы!$C$2,"норма","превышение")</f>
        <v>норма</v>
      </c>
      <c r="F284" s="12" t="n">
        <f aca="false">Данные_ввод!E284</f>
        <v>7.66</v>
      </c>
      <c r="G284" s="11" t="str">
        <f aca="false">IF(AND(F284&gt;=Нормативы!$B$3,F284&lt;=Нормативы!$C$3),"норма","превышение")</f>
        <v>норма</v>
      </c>
      <c r="H284" s="13" t="n">
        <f aca="false">Данные_ввод!G284</f>
        <v>898</v>
      </c>
      <c r="I284" s="11" t="str">
        <f aca="false">IF(H284&lt;=Нормативы!$C$4,"норма","превышение")</f>
        <v>норма</v>
      </c>
      <c r="J284" s="11" t="str">
        <f aca="false">IF(AND(E284="норма",G284="норма",I284="норма"),"Проба соответствует","Проба не соответствует")</f>
        <v>Проба соответствует</v>
      </c>
    </row>
    <row r="285" customFormat="false" ht="15" hidden="false" customHeight="false" outlineLevel="0" collapsed="false">
      <c r="A285" s="9" t="str">
        <f aca="false">Данные_ввод!A285</f>
        <v>2026-04-13</v>
      </c>
      <c r="B285" s="9" t="str">
        <f aca="false">Данные_ввод!B285</f>
        <v>S-0284</v>
      </c>
      <c r="C285" s="9" t="str">
        <f aca="false">Данные_ввод!C285</f>
        <v>Точка-1 (скважина)</v>
      </c>
      <c r="D285" s="10" t="n">
        <f aca="false">(Данные_ввод!D285-Градуировка_Fe!$B$4)/Градуировка_Fe!$B$3</f>
        <v>0.150961423623552</v>
      </c>
      <c r="E285" s="11" t="str">
        <f aca="false">IF(D285&lt;=Нормативы!$C$2,"норма","превышение")</f>
        <v>норма</v>
      </c>
      <c r="F285" s="12" t="n">
        <f aca="false">Данные_ввод!E285</f>
        <v>6.43</v>
      </c>
      <c r="G285" s="11" t="str">
        <f aca="false">IF(AND(F285&gt;=Нормативы!$B$3,F285&lt;=Нормативы!$C$3),"норма","превышение")</f>
        <v>норма</v>
      </c>
      <c r="H285" s="13" t="n">
        <f aca="false">Данные_ввод!G285</f>
        <v>518</v>
      </c>
      <c r="I285" s="11" t="str">
        <f aca="false">IF(H285&lt;=Нормативы!$C$4,"норма","превышение")</f>
        <v>норма</v>
      </c>
      <c r="J285" s="11" t="str">
        <f aca="false">IF(AND(E285="норма",G285="норма",I285="норма"),"Проба соответствует","Проба не соответствует")</f>
        <v>Проба соответствует</v>
      </c>
    </row>
    <row r="286" customFormat="false" ht="15" hidden="false" customHeight="false" outlineLevel="0" collapsed="false">
      <c r="A286" s="9" t="str">
        <f aca="false">Данные_ввод!A286</f>
        <v>2026-04-14</v>
      </c>
      <c r="B286" s="9" t="str">
        <f aca="false">Данные_ввод!B286</f>
        <v>S-0285</v>
      </c>
      <c r="C286" s="9" t="str">
        <f aca="false">Данные_ввод!C286</f>
        <v>Точка-1 (скважина)</v>
      </c>
      <c r="D286" s="10" t="n">
        <f aca="false">(Данные_ввод!D286-Градуировка_Fe!$B$4)/Градуировка_Fe!$B$3</f>
        <v>0.220112265615669</v>
      </c>
      <c r="E286" s="11" t="str">
        <f aca="false">IF(D286&lt;=Нормативы!$C$2,"норма","превышение")</f>
        <v>норма</v>
      </c>
      <c r="F286" s="12" t="n">
        <f aca="false">Данные_ввод!E286</f>
        <v>7.53</v>
      </c>
      <c r="G286" s="11" t="str">
        <f aca="false">IF(AND(F286&gt;=Нормативы!$B$3,F286&lt;=Нормативы!$C$3),"норма","превышение")</f>
        <v>норма</v>
      </c>
      <c r="H286" s="13" t="n">
        <f aca="false">Данные_ввод!G286</f>
        <v>529</v>
      </c>
      <c r="I286" s="11" t="str">
        <f aca="false">IF(H286&lt;=Нормативы!$C$4,"норма","превышение")</f>
        <v>норма</v>
      </c>
      <c r="J286" s="11" t="str">
        <f aca="false">IF(AND(E286="норма",G286="норма",I286="норма"),"Проба соответствует","Проба не соответствует")</f>
        <v>Проба соответствует</v>
      </c>
    </row>
    <row r="287" customFormat="false" ht="15" hidden="false" customHeight="false" outlineLevel="0" collapsed="false">
      <c r="A287" s="9" t="str">
        <f aca="false">Данные_ввод!A287</f>
        <v>2026-04-14</v>
      </c>
      <c r="B287" s="9" t="str">
        <f aca="false">Данные_ввод!B287</f>
        <v>S-0286</v>
      </c>
      <c r="C287" s="9" t="str">
        <f aca="false">Данные_ввод!C287</f>
        <v>Точка-2 (резервуар)</v>
      </c>
      <c r="D287" s="10" t="n">
        <f aca="false">(Данные_ввод!D287-Градуировка_Fe!$B$4)/Градуировка_Fe!$B$3</f>
        <v>0.155977546876866</v>
      </c>
      <c r="E287" s="11" t="str">
        <f aca="false">IF(D287&lt;=Нормативы!$C$2,"норма","превышение")</f>
        <v>норма</v>
      </c>
      <c r="F287" s="12" t="n">
        <f aca="false">Данные_ввод!E287</f>
        <v>7.33</v>
      </c>
      <c r="G287" s="11" t="str">
        <f aca="false">IF(AND(F287&gt;=Нормативы!$B$3,F287&lt;=Нормативы!$C$3),"норма","превышение")</f>
        <v>норма</v>
      </c>
      <c r="H287" s="13" t="n">
        <f aca="false">Данные_ввод!G287</f>
        <v>302</v>
      </c>
      <c r="I287" s="11" t="str">
        <f aca="false">IF(H287&lt;=Нормативы!$C$4,"норма","превышение")</f>
        <v>норма</v>
      </c>
      <c r="J287" s="11" t="str">
        <f aca="false">IF(AND(E287="норма",G287="норма",I287="норма"),"Проба соответствует","Проба не соответствует")</f>
        <v>Проба соответствует</v>
      </c>
    </row>
    <row r="288" customFormat="false" ht="15" hidden="false" customHeight="false" outlineLevel="0" collapsed="false">
      <c r="A288" s="9" t="str">
        <f aca="false">Данные_ввод!A288</f>
        <v>2026-04-14</v>
      </c>
      <c r="B288" s="9" t="str">
        <f aca="false">Данные_ввод!B288</f>
        <v>S-0287</v>
      </c>
      <c r="C288" s="9" t="str">
        <f aca="false">Данные_ввод!C288</f>
        <v>Точка-2 (резервуар)</v>
      </c>
      <c r="D288" s="10" t="n">
        <f aca="false">(Данные_ввод!D288-Градуировка_Fe!$B$4)/Градуировка_Fe!$B$3</f>
        <v>0.194315060312911</v>
      </c>
      <c r="E288" s="11" t="str">
        <f aca="false">IF(D288&lt;=Нормативы!$C$2,"норма","превышение")</f>
        <v>норма</v>
      </c>
      <c r="F288" s="12" t="n">
        <f aca="false">Данные_ввод!E288</f>
        <v>6.7</v>
      </c>
      <c r="G288" s="11" t="str">
        <f aca="false">IF(AND(F288&gt;=Нормативы!$B$3,F288&lt;=Нормативы!$C$3),"норма","превышение")</f>
        <v>норма</v>
      </c>
      <c r="H288" s="13" t="n">
        <f aca="false">Данные_ввод!G288</f>
        <v>359</v>
      </c>
      <c r="I288" s="11" t="str">
        <f aca="false">IF(H288&lt;=Нормативы!$C$4,"норма","превышение")</f>
        <v>норма</v>
      </c>
      <c r="J288" s="11" t="str">
        <f aca="false">IF(AND(E288="норма",G288="норма",I288="норма"),"Проба соответствует","Проба не соответствует")</f>
        <v>Проба соответствует</v>
      </c>
    </row>
    <row r="289" customFormat="false" ht="15" hidden="false" customHeight="false" outlineLevel="0" collapsed="false">
      <c r="A289" s="9" t="str">
        <f aca="false">Данные_ввод!A289</f>
        <v>2026-04-14</v>
      </c>
      <c r="B289" s="9" t="str">
        <f aca="false">Данные_ввод!B289</f>
        <v>S-0288</v>
      </c>
      <c r="C289" s="9" t="str">
        <f aca="false">Данные_ввод!C289</f>
        <v>Точка-2 (резервуар)</v>
      </c>
      <c r="D289" s="10" t="n">
        <f aca="false">(Данные_ввод!D289-Градуировка_Fe!$B$4)/Градуировка_Fe!$B$3</f>
        <v>0.17484772482981</v>
      </c>
      <c r="E289" s="11" t="str">
        <f aca="false">IF(D289&lt;=Нормативы!$C$2,"норма","превышение")</f>
        <v>норма</v>
      </c>
      <c r="F289" s="12" t="n">
        <f aca="false">Данные_ввод!E289</f>
        <v>7.2</v>
      </c>
      <c r="G289" s="11" t="str">
        <f aca="false">IF(AND(F289&gt;=Нормативы!$B$3,F289&lt;=Нормативы!$C$3),"норма","превышение")</f>
        <v>норма</v>
      </c>
      <c r="H289" s="13" t="n">
        <f aca="false">Данные_ввод!G289</f>
        <v>714</v>
      </c>
      <c r="I289" s="11" t="str">
        <f aca="false">IF(H289&lt;=Нормативы!$C$4,"норма","превышение")</f>
        <v>норма</v>
      </c>
      <c r="J289" s="11" t="str">
        <f aca="false">IF(AND(E289="норма",G289="норма",I289="норма"),"Проба соответствует","Проба не соответствует")</f>
        <v>Проба соответствует</v>
      </c>
    </row>
    <row r="290" customFormat="false" ht="15" hidden="false" customHeight="false" outlineLevel="0" collapsed="false">
      <c r="A290" s="9" t="str">
        <f aca="false">Данные_ввод!A290</f>
        <v>2026-04-15</v>
      </c>
      <c r="B290" s="9" t="str">
        <f aca="false">Данные_ввод!B290</f>
        <v>S-0289</v>
      </c>
      <c r="C290" s="9" t="str">
        <f aca="false">Данные_ввод!C290</f>
        <v>Точка-3 (сброс)</v>
      </c>
      <c r="D290" s="10" t="n">
        <f aca="false">(Данные_ввод!D290-Градуировка_Fe!$B$4)/Градуировка_Fe!$B$3</f>
        <v>0.319957004657829</v>
      </c>
      <c r="E290" s="11" t="str">
        <f aca="false">IF(D290&lt;=Нормативы!$C$2,"норма","превышение")</f>
        <v>превышение</v>
      </c>
      <c r="F290" s="12" t="n">
        <f aca="false">Данные_ввод!E290</f>
        <v>7.49</v>
      </c>
      <c r="G290" s="11" t="str">
        <f aca="false">IF(AND(F290&gt;=Нормативы!$B$3,F290&lt;=Нормативы!$C$3),"норма","превышение")</f>
        <v>норма</v>
      </c>
      <c r="H290" s="13" t="n">
        <f aca="false">Данные_ввод!G290</f>
        <v>822</v>
      </c>
      <c r="I290" s="11" t="str">
        <f aca="false">IF(H290&lt;=Нормативы!$C$4,"норма","превышение")</f>
        <v>норма</v>
      </c>
      <c r="J290" s="11" t="str">
        <f aca="false">IF(AND(E290="норма",G290="норма",I290="норма"),"Проба соответствует","Проба не соответствует")</f>
        <v>Проба не соответствует</v>
      </c>
    </row>
    <row r="291" customFormat="false" ht="15" hidden="false" customHeight="false" outlineLevel="0" collapsed="false">
      <c r="A291" s="9" t="str">
        <f aca="false">Данные_ввод!A291</f>
        <v>2026-04-15</v>
      </c>
      <c r="B291" s="9" t="str">
        <f aca="false">Данные_ввод!B291</f>
        <v>S-0290</v>
      </c>
      <c r="C291" s="9" t="str">
        <f aca="false">Данные_ввод!C291</f>
        <v>Точка-1 (скважина)</v>
      </c>
      <c r="D291" s="10" t="n">
        <f aca="false">(Данные_ввод!D291-Градуировка_Fe!$B$4)/Градуировка_Fe!$B$3</f>
        <v>0.256897169473307</v>
      </c>
      <c r="E291" s="11" t="str">
        <f aca="false">IF(D291&lt;=Нормативы!$C$2,"норма","превышение")</f>
        <v>норма</v>
      </c>
      <c r="F291" s="12" t="n">
        <f aca="false">Данные_ввод!E291</f>
        <v>7.54</v>
      </c>
      <c r="G291" s="11" t="str">
        <f aca="false">IF(AND(F291&gt;=Нормативы!$B$3,F291&lt;=Нормативы!$C$3),"норма","превышение")</f>
        <v>норма</v>
      </c>
      <c r="H291" s="13" t="n">
        <f aca="false">Данные_ввод!G291</f>
        <v>712</v>
      </c>
      <c r="I291" s="11" t="str">
        <f aca="false">IF(H291&lt;=Нормативы!$C$4,"норма","превышение")</f>
        <v>норма</v>
      </c>
      <c r="J291" s="11" t="str">
        <f aca="false">IF(AND(E291="норма",G291="норма",I291="норма"),"Проба соответствует","Проба не соответствует")</f>
        <v>Проба соответствует</v>
      </c>
    </row>
    <row r="292" customFormat="false" ht="15" hidden="false" customHeight="false" outlineLevel="0" collapsed="false">
      <c r="A292" s="9" t="str">
        <f aca="false">Данные_ввод!A292</f>
        <v>2026-04-15</v>
      </c>
      <c r="B292" s="9" t="str">
        <f aca="false">Данные_ввод!B292</f>
        <v>S-0291</v>
      </c>
      <c r="C292" s="9" t="str">
        <f aca="false">Данные_ввод!C292</f>
        <v>Точка-2 (резервуар)</v>
      </c>
      <c r="D292" s="10" t="n">
        <f aca="false">(Данные_ввод!D292-Градуировка_Fe!$B$4)/Градуировка_Fe!$B$3</f>
        <v>0.182969067239938</v>
      </c>
      <c r="E292" s="11" t="str">
        <f aca="false">IF(D292&lt;=Нормативы!$C$2,"норма","превышение")</f>
        <v>норма</v>
      </c>
      <c r="F292" s="12" t="n">
        <f aca="false">Данные_ввод!E292</f>
        <v>6.54</v>
      </c>
      <c r="G292" s="11" t="str">
        <f aca="false">IF(AND(F292&gt;=Нормативы!$B$3,F292&lt;=Нормативы!$C$3),"норма","превышение")</f>
        <v>норма</v>
      </c>
      <c r="H292" s="13" t="n">
        <f aca="false">Данные_ввод!G292</f>
        <v>616</v>
      </c>
      <c r="I292" s="11" t="str">
        <f aca="false">IF(H292&lt;=Нормативы!$C$4,"норма","превышение")</f>
        <v>норма</v>
      </c>
      <c r="J292" s="11" t="str">
        <f aca="false">IF(AND(E292="норма",G292="норма",I292="норма"),"Проба соответствует","Проба не соответствует")</f>
        <v>Проба соответствует</v>
      </c>
    </row>
    <row r="293" customFormat="false" ht="15" hidden="false" customHeight="false" outlineLevel="0" collapsed="false">
      <c r="A293" s="9" t="str">
        <f aca="false">Данные_ввод!A293</f>
        <v>2026-04-15</v>
      </c>
      <c r="B293" s="9" t="str">
        <f aca="false">Данные_ввод!B293</f>
        <v>S-0292</v>
      </c>
      <c r="C293" s="9" t="str">
        <f aca="false">Данные_ввод!C293</f>
        <v>Точка-1 (скважина)</v>
      </c>
      <c r="D293" s="10" t="n">
        <f aca="false">(Данные_ввод!D293-Градуировка_Fe!$B$4)/Градуировка_Fe!$B$3</f>
        <v>0.306102949958199</v>
      </c>
      <c r="E293" s="11" t="str">
        <f aca="false">IF(D293&lt;=Нормативы!$C$2,"норма","превышение")</f>
        <v>превышение</v>
      </c>
      <c r="F293" s="12" t="n">
        <f aca="false">Данные_ввод!E293</f>
        <v>7.09</v>
      </c>
      <c r="G293" s="11" t="str">
        <f aca="false">IF(AND(F293&gt;=Нормативы!$B$3,F293&lt;=Нормативы!$C$3),"норма","превышение")</f>
        <v>норма</v>
      </c>
      <c r="H293" s="13" t="n">
        <f aca="false">Данные_ввод!G293</f>
        <v>562</v>
      </c>
      <c r="I293" s="11" t="str">
        <f aca="false">IF(H293&lt;=Нормативы!$C$4,"норма","превышение")</f>
        <v>норма</v>
      </c>
      <c r="J293" s="11" t="str">
        <f aca="false">IF(AND(E293="норма",G293="норма",I293="норма"),"Проба соответствует","Проба не соответствует")</f>
        <v>Проба не соответствует</v>
      </c>
    </row>
    <row r="294" customFormat="false" ht="15" hidden="false" customHeight="false" outlineLevel="0" collapsed="false">
      <c r="A294" s="9" t="str">
        <f aca="false">Данные_ввод!A294</f>
        <v>2026-04-16</v>
      </c>
      <c r="B294" s="9" t="str">
        <f aca="false">Данные_ввод!B294</f>
        <v>S-0293</v>
      </c>
      <c r="C294" s="9" t="str">
        <f aca="false">Данные_ввод!C294</f>
        <v>Точка-2 (резервуар)</v>
      </c>
      <c r="D294" s="10" t="n">
        <f aca="false">(Данные_ввод!D294-Градуировка_Fe!$B$4)/Градуировка_Fe!$B$3</f>
        <v>0.279111429595127</v>
      </c>
      <c r="E294" s="11" t="str">
        <f aca="false">IF(D294&lt;=Нормативы!$C$2,"норма","превышение")</f>
        <v>норма</v>
      </c>
      <c r="F294" s="12" t="n">
        <f aca="false">Данные_ввод!E294</f>
        <v>7.39</v>
      </c>
      <c r="G294" s="11" t="str">
        <f aca="false">IF(AND(F294&gt;=Нормативы!$B$3,F294&lt;=Нормативы!$C$3),"норма","превышение")</f>
        <v>норма</v>
      </c>
      <c r="H294" s="13" t="n">
        <f aca="false">Данные_ввод!G294</f>
        <v>760</v>
      </c>
      <c r="I294" s="11" t="str">
        <f aca="false">IF(H294&lt;=Нормативы!$C$4,"норма","превышение")</f>
        <v>норма</v>
      </c>
      <c r="J294" s="11" t="str">
        <f aca="false">IF(AND(E294="норма",G294="норма",I294="норма"),"Проба соответствует","Проба не соответствует")</f>
        <v>Проба соответствует</v>
      </c>
    </row>
    <row r="295" customFormat="false" ht="15" hidden="false" customHeight="false" outlineLevel="0" collapsed="false">
      <c r="A295" s="9" t="str">
        <f aca="false">Данные_ввод!A295</f>
        <v>2026-04-16</v>
      </c>
      <c r="B295" s="9" t="str">
        <f aca="false">Данные_ввод!B295</f>
        <v>S-0294</v>
      </c>
      <c r="C295" s="9" t="str">
        <f aca="false">Данные_ввод!C295</f>
        <v>Точка-1 (скважина)</v>
      </c>
      <c r="D295" s="10" t="n">
        <f aca="false">(Данные_ввод!D295-Градуировка_Fe!$B$4)/Градуировка_Fe!$B$3</f>
        <v>0.124567060790637</v>
      </c>
      <c r="E295" s="11" t="str">
        <f aca="false">IF(D295&lt;=Нормативы!$C$2,"норма","превышение")</f>
        <v>норма</v>
      </c>
      <c r="F295" s="12" t="n">
        <f aca="false">Данные_ввод!E295</f>
        <v>7.37</v>
      </c>
      <c r="G295" s="11" t="str">
        <f aca="false">IF(AND(F295&gt;=Нормативы!$B$3,F295&lt;=Нормативы!$C$3),"норма","превышение")</f>
        <v>норма</v>
      </c>
      <c r="H295" s="13" t="n">
        <f aca="false">Данные_ввод!G295</f>
        <v>209</v>
      </c>
      <c r="I295" s="11" t="str">
        <f aca="false">IF(H295&lt;=Нормативы!$C$4,"норма","превышение")</f>
        <v>норма</v>
      </c>
      <c r="J295" s="11" t="str">
        <f aca="false">IF(AND(E295="норма",G295="норма",I295="норма"),"Проба соответствует","Проба не соответствует")</f>
        <v>Проба соответствует</v>
      </c>
    </row>
    <row r="296" customFormat="false" ht="15" hidden="false" customHeight="false" outlineLevel="0" collapsed="false">
      <c r="A296" s="9" t="str">
        <f aca="false">Данные_ввод!A296</f>
        <v>2026-04-16</v>
      </c>
      <c r="B296" s="9" t="str">
        <f aca="false">Данные_ввод!B296</f>
        <v>S-0295</v>
      </c>
      <c r="C296" s="9" t="str">
        <f aca="false">Данные_ввод!C296</f>
        <v>Точка-2 (резервуар)</v>
      </c>
      <c r="D296" s="10" t="n">
        <f aca="false">(Данные_ввод!D296-Градуировка_Fe!$B$4)/Градуировка_Fe!$B$3</f>
        <v>0.237310402484175</v>
      </c>
      <c r="E296" s="11" t="str">
        <f aca="false">IF(D296&lt;=Нормативы!$C$2,"норма","превышение")</f>
        <v>норма</v>
      </c>
      <c r="F296" s="12" t="n">
        <f aca="false">Данные_ввод!E296</f>
        <v>6.49</v>
      </c>
      <c r="G296" s="11" t="str">
        <f aca="false">IF(AND(F296&gt;=Нормативы!$B$3,F296&lt;=Нормативы!$C$3),"норма","превышение")</f>
        <v>норма</v>
      </c>
      <c r="H296" s="13" t="n">
        <f aca="false">Данные_ввод!G296</f>
        <v>494</v>
      </c>
      <c r="I296" s="11" t="str">
        <f aca="false">IF(H296&lt;=Нормативы!$C$4,"норма","превышение")</f>
        <v>норма</v>
      </c>
      <c r="J296" s="11" t="str">
        <f aca="false">IF(AND(E296="норма",G296="норма",I296="норма"),"Проба соответствует","Проба не соответствует")</f>
        <v>Проба соответствует</v>
      </c>
    </row>
    <row r="297" customFormat="false" ht="15" hidden="false" customHeight="false" outlineLevel="0" collapsed="false">
      <c r="A297" s="9" t="str">
        <f aca="false">Данные_ввод!A297</f>
        <v>2026-04-16</v>
      </c>
      <c r="B297" s="9" t="str">
        <f aca="false">Данные_ввод!B297</f>
        <v>S-0296</v>
      </c>
      <c r="C297" s="9" t="str">
        <f aca="false">Данные_ввод!C297</f>
        <v>Точка-2 (резервуар)</v>
      </c>
      <c r="D297" s="10" t="n">
        <f aca="false">(Данные_ввод!D297-Градуировка_Fe!$B$4)/Градуировка_Fe!$B$3</f>
        <v>0.19144870416816</v>
      </c>
      <c r="E297" s="11" t="str">
        <f aca="false">IF(D297&lt;=Нормативы!$C$2,"норма","превышение")</f>
        <v>норма</v>
      </c>
      <c r="F297" s="12" t="n">
        <f aca="false">Данные_ввод!E297</f>
        <v>6.92</v>
      </c>
      <c r="G297" s="11" t="str">
        <f aca="false">IF(AND(F297&gt;=Нормативы!$B$3,F297&lt;=Нормативы!$C$3),"норма","превышение")</f>
        <v>норма</v>
      </c>
      <c r="H297" s="13" t="n">
        <f aca="false">Данные_ввод!G297</f>
        <v>423</v>
      </c>
      <c r="I297" s="11" t="str">
        <f aca="false">IF(H297&lt;=Нормативы!$C$4,"норма","превышение")</f>
        <v>норма</v>
      </c>
      <c r="J297" s="11" t="str">
        <f aca="false">IF(AND(E297="норма",G297="норма",I297="норма"),"Проба соответствует","Проба не соответствует")</f>
        <v>Проба соответствует</v>
      </c>
    </row>
    <row r="298" customFormat="false" ht="15" hidden="false" customHeight="false" outlineLevel="0" collapsed="false">
      <c r="A298" s="9" t="str">
        <f aca="false">Данные_ввод!A298</f>
        <v>2026-04-17</v>
      </c>
      <c r="B298" s="9" t="str">
        <f aca="false">Данные_ввод!B298</f>
        <v>S-0297</v>
      </c>
      <c r="C298" s="9" t="str">
        <f aca="false">Данные_ввод!C298</f>
        <v>Точка-2 (резервуар)</v>
      </c>
      <c r="D298" s="10" t="n">
        <f aca="false">(Данные_ввод!D298-Градуировка_Fe!$B$4)/Градуировка_Fe!$B$3</f>
        <v>-0.0134957601815359</v>
      </c>
      <c r="E298" s="11" t="str">
        <f aca="false">IF(D298&lt;=Нормативы!$C$2,"норма","превышение")</f>
        <v>норма</v>
      </c>
      <c r="F298" s="12" t="n">
        <f aca="false">Данные_ввод!E298</f>
        <v>6.4</v>
      </c>
      <c r="G298" s="11" t="str">
        <f aca="false">IF(AND(F298&gt;=Нормативы!$B$3,F298&lt;=Нормативы!$C$3),"норма","превышение")</f>
        <v>норма</v>
      </c>
      <c r="H298" s="13" t="n">
        <f aca="false">Данные_ввод!G298</f>
        <v>466</v>
      </c>
      <c r="I298" s="11" t="str">
        <f aca="false">IF(H298&lt;=Нормативы!$C$4,"норма","превышение")</f>
        <v>норма</v>
      </c>
      <c r="J298" s="11" t="str">
        <f aca="false">IF(AND(E298="норма",G298="норма",I298="норма"),"Проба соответствует","Проба не соответствует")</f>
        <v>Проба соответствует</v>
      </c>
    </row>
    <row r="299" customFormat="false" ht="15" hidden="false" customHeight="false" outlineLevel="0" collapsed="false">
      <c r="A299" s="9" t="str">
        <f aca="false">Данные_ввод!A299</f>
        <v>2026-04-17</v>
      </c>
      <c r="B299" s="9" t="str">
        <f aca="false">Данные_ввод!B299</f>
        <v>S-0298</v>
      </c>
      <c r="C299" s="9" t="str">
        <f aca="false">Данные_ввод!C299</f>
        <v>Точка-1 (скважина)</v>
      </c>
      <c r="D299" s="10" t="n">
        <f aca="false">(Данные_ввод!D299-Градуировка_Fe!$B$4)/Градуировка_Fe!$B$3</f>
        <v>0.0681953899438672</v>
      </c>
      <c r="E299" s="11" t="str">
        <f aca="false">IF(D299&lt;=Нормативы!$C$2,"норма","превышение")</f>
        <v>норма</v>
      </c>
      <c r="F299" s="12" t="n">
        <f aca="false">Данные_ввод!E299</f>
        <v>7.3</v>
      </c>
      <c r="G299" s="11" t="str">
        <f aca="false">IF(AND(F299&gt;=Нормативы!$B$3,F299&lt;=Нормативы!$C$3),"норма","превышение")</f>
        <v>норма</v>
      </c>
      <c r="H299" s="13" t="n">
        <f aca="false">Данные_ввод!G299</f>
        <v>555</v>
      </c>
      <c r="I299" s="11" t="str">
        <f aca="false">IF(H299&lt;=Нормативы!$C$4,"норма","превышение")</f>
        <v>норма</v>
      </c>
      <c r="J299" s="11" t="str">
        <f aca="false">IF(AND(E299="норма",G299="норма",I299="норма"),"Проба соответствует","Проба не соответствует")</f>
        <v>Проба соответствует</v>
      </c>
    </row>
    <row r="300" customFormat="false" ht="15" hidden="false" customHeight="false" outlineLevel="0" collapsed="false">
      <c r="A300" s="9" t="str">
        <f aca="false">Данные_ввод!A300</f>
        <v>2026-04-17</v>
      </c>
      <c r="B300" s="9" t="str">
        <f aca="false">Данные_ввод!B300</f>
        <v>S-0299</v>
      </c>
      <c r="C300" s="9" t="str">
        <f aca="false">Данные_ввод!C300</f>
        <v>Точка-1 (скважина)</v>
      </c>
      <c r="D300" s="10" t="n">
        <f aca="false">(Данные_ввод!D300-Градуировка_Fe!$B$4)/Градуировка_Fe!$B$3</f>
        <v>0.177355786456467</v>
      </c>
      <c r="E300" s="11" t="str">
        <f aca="false">IF(D300&lt;=Нормативы!$C$2,"норма","превышение")</f>
        <v>норма</v>
      </c>
      <c r="F300" s="12" t="n">
        <f aca="false">Данные_ввод!E300</f>
        <v>7.38</v>
      </c>
      <c r="G300" s="11" t="str">
        <f aca="false">IF(AND(F300&gt;=Нормативы!$B$3,F300&lt;=Нормативы!$C$3),"норма","превышение")</f>
        <v>норма</v>
      </c>
      <c r="H300" s="13" t="n">
        <f aca="false">Данные_ввод!G300</f>
        <v>1006</v>
      </c>
      <c r="I300" s="11" t="str">
        <f aca="false">IF(H300&lt;=Нормативы!$C$4,"норма","превышение")</f>
        <v>превышение</v>
      </c>
      <c r="J300" s="11" t="str">
        <f aca="false">IF(AND(E300="норма",G300="норма",I300="норма"),"Проба соответствует","Проба не соответствует")</f>
        <v>Проба не соответствует</v>
      </c>
    </row>
    <row r="301" customFormat="false" ht="15" hidden="false" customHeight="false" outlineLevel="0" collapsed="false">
      <c r="A301" s="9" t="str">
        <f aca="false">Данные_ввод!A301</f>
        <v>2026-04-17</v>
      </c>
      <c r="B301" s="9" t="str">
        <f aca="false">Данные_ввод!B301</f>
        <v>S-0300</v>
      </c>
      <c r="C301" s="9" t="str">
        <f aca="false">Данные_ввод!C301</f>
        <v>Точка-1 (скважина)</v>
      </c>
      <c r="D301" s="10" t="n">
        <f aca="false">(Данные_ввод!D301-Градуировка_Fe!$B$4)/Градуировка_Fe!$B$3</f>
        <v>0.00179147259046937</v>
      </c>
      <c r="E301" s="11" t="str">
        <f aca="false">IF(D301&lt;=Нормативы!$C$2,"норма","превышение")</f>
        <v>норма</v>
      </c>
      <c r="F301" s="12" t="n">
        <f aca="false">Данные_ввод!E301</f>
        <v>7.91</v>
      </c>
      <c r="G301" s="11" t="str">
        <f aca="false">IF(AND(F301&gt;=Нормативы!$B$3,F301&lt;=Нормативы!$C$3),"норма","превышение")</f>
        <v>норма</v>
      </c>
      <c r="H301" s="13" t="n">
        <f aca="false">Данные_ввод!G301</f>
        <v>654</v>
      </c>
      <c r="I301" s="11" t="str">
        <f aca="false">IF(H301&lt;=Нормативы!$C$4,"норма","превышение")</f>
        <v>норма</v>
      </c>
      <c r="J301" s="11" t="str">
        <f aca="false">IF(AND(E301="норма",G301="норма",I301="норма"),"Проба соответствует","Проба не соответствует")</f>
        <v>Проба соответствует</v>
      </c>
    </row>
    <row r="302" customFormat="false" ht="15" hidden="false" customHeight="false" outlineLevel="0" collapsed="false">
      <c r="A302" s="9" t="str">
        <f aca="false">Данные_ввод!A302</f>
        <v>2026-04-20</v>
      </c>
      <c r="B302" s="9" t="str">
        <f aca="false">Данные_ввод!B302</f>
        <v>S-0301</v>
      </c>
      <c r="C302" s="9" t="str">
        <f aca="false">Данные_ввод!C302</f>
        <v>Точка-3 (сброс)</v>
      </c>
      <c r="D302" s="10" t="n">
        <f aca="false">(Данные_ввод!D302-Градуировка_Fe!$B$4)/Градуировка_Fe!$B$3</f>
        <v>0.273498148811657</v>
      </c>
      <c r="E302" s="11" t="str">
        <f aca="false">IF(D302&lt;=Нормативы!$C$2,"норма","превышение")</f>
        <v>норма</v>
      </c>
      <c r="F302" s="12" t="n">
        <f aca="false">Данные_ввод!E302</f>
        <v>7.21</v>
      </c>
      <c r="G302" s="11" t="str">
        <f aca="false">IF(AND(F302&gt;=Нормативы!$B$3,F302&lt;=Нормативы!$C$3),"норма","превышение")</f>
        <v>норма</v>
      </c>
      <c r="H302" s="13" t="n">
        <f aca="false">Данные_ввод!G302</f>
        <v>661</v>
      </c>
      <c r="I302" s="11" t="str">
        <f aca="false">IF(H302&lt;=Нормативы!$C$4,"норма","превышение")</f>
        <v>норма</v>
      </c>
      <c r="J302" s="11" t="str">
        <f aca="false">IF(AND(E302="норма",G302="норма",I302="норма"),"Проба соответствует","Проба не соответствует")</f>
        <v>Проба соответствует</v>
      </c>
    </row>
    <row r="303" customFormat="false" ht="15" hidden="false" customHeight="false" outlineLevel="0" collapsed="false">
      <c r="A303" s="9" t="str">
        <f aca="false">Данные_ввод!A303</f>
        <v>2026-04-20</v>
      </c>
      <c r="B303" s="9" t="str">
        <f aca="false">Данные_ввод!B303</f>
        <v>S-0302</v>
      </c>
      <c r="C303" s="9" t="str">
        <f aca="false">Данные_ввод!C303</f>
        <v>Точка-1 (скважина)</v>
      </c>
      <c r="D303" s="10" t="n">
        <f aca="false">(Данные_ввод!D303-Градуировка_Fe!$B$4)/Градуировка_Fe!$B$3</f>
        <v>0.044309088737609</v>
      </c>
      <c r="E303" s="11" t="str">
        <f aca="false">IF(D303&lt;=Нормативы!$C$2,"норма","превышение")</f>
        <v>норма</v>
      </c>
      <c r="F303" s="12" t="n">
        <f aca="false">Данные_ввод!E303</f>
        <v>6.09</v>
      </c>
      <c r="G303" s="11" t="str">
        <f aca="false">IF(AND(F303&gt;=Нормативы!$B$3,F303&lt;=Нормативы!$C$3),"норма","превышение")</f>
        <v>норма</v>
      </c>
      <c r="H303" s="13" t="n">
        <f aca="false">Данные_ввод!G303</f>
        <v>365</v>
      </c>
      <c r="I303" s="11" t="str">
        <f aca="false">IF(H303&lt;=Нормативы!$C$4,"норма","превышение")</f>
        <v>норма</v>
      </c>
      <c r="J303" s="11" t="str">
        <f aca="false">IF(AND(E303="норма",G303="норма",I303="норма"),"Проба соответствует","Проба не соответствует")</f>
        <v>Проба соответствует</v>
      </c>
    </row>
    <row r="304" customFormat="false" ht="15" hidden="false" customHeight="false" outlineLevel="0" collapsed="false">
      <c r="A304" s="9" t="str">
        <f aca="false">Данные_ввод!A304</f>
        <v>2026-04-20</v>
      </c>
      <c r="B304" s="9" t="str">
        <f aca="false">Данные_ввод!B304</f>
        <v>S-0303</v>
      </c>
      <c r="C304" s="9" t="str">
        <f aca="false">Данные_ввод!C304</f>
        <v>Точка-1 (скважина)</v>
      </c>
      <c r="D304" s="10" t="n">
        <f aca="false">(Данные_ввод!D304-Градуировка_Fe!$B$4)/Градуировка_Fe!$B$3</f>
        <v>0.061148931088021</v>
      </c>
      <c r="E304" s="11" t="str">
        <f aca="false">IF(D304&lt;=Нормативы!$C$2,"норма","превышение")</f>
        <v>норма</v>
      </c>
      <c r="F304" s="12" t="n">
        <f aca="false">Данные_ввод!E304</f>
        <v>6.78</v>
      </c>
      <c r="G304" s="11" t="str">
        <f aca="false">IF(AND(F304&gt;=Нормативы!$B$3,F304&lt;=Нормативы!$C$3),"норма","превышение")</f>
        <v>норма</v>
      </c>
      <c r="H304" s="13" t="n">
        <f aca="false">Данные_ввод!G304</f>
        <v>1045</v>
      </c>
      <c r="I304" s="11" t="str">
        <f aca="false">IF(H304&lt;=Нормативы!$C$4,"норма","превышение")</f>
        <v>превышение</v>
      </c>
      <c r="J304" s="11" t="str">
        <f aca="false">IF(AND(E304="норма",G304="норма",I304="норма"),"Проба соответствует","Проба не соответствует")</f>
        <v>Проба не соответствует</v>
      </c>
    </row>
    <row r="305" customFormat="false" ht="15" hidden="false" customHeight="false" outlineLevel="0" collapsed="false">
      <c r="A305" s="9" t="str">
        <f aca="false">Данные_ввод!A305</f>
        <v>2026-04-20</v>
      </c>
      <c r="B305" s="9" t="str">
        <f aca="false">Данные_ввод!B305</f>
        <v>S-0304</v>
      </c>
      <c r="C305" s="9" t="str">
        <f aca="false">Данные_ввод!C305</f>
        <v>Точка-1 (скважина)</v>
      </c>
      <c r="D305" s="10" t="n">
        <f aca="false">(Данные_ввод!D305-Градуировка_Fe!$B$4)/Градуировка_Fe!$B$3</f>
        <v>0.0361877463274812</v>
      </c>
      <c r="E305" s="11" t="str">
        <f aca="false">IF(D305&lt;=Нормативы!$C$2,"норма","превышение")</f>
        <v>норма</v>
      </c>
      <c r="F305" s="12" t="n">
        <f aca="false">Данные_ввод!E305</f>
        <v>7.37</v>
      </c>
      <c r="G305" s="11" t="str">
        <f aca="false">IF(AND(F305&gt;=Нормативы!$B$3,F305&lt;=Нормативы!$C$3),"норма","превышение")</f>
        <v>норма</v>
      </c>
      <c r="H305" s="13" t="n">
        <f aca="false">Данные_ввод!G305</f>
        <v>476</v>
      </c>
      <c r="I305" s="11" t="str">
        <f aca="false">IF(H305&lt;=Нормативы!$C$4,"норма","превышение")</f>
        <v>норма</v>
      </c>
      <c r="J305" s="11" t="str">
        <f aca="false">IF(AND(E305="норма",G305="норма",I305="норма"),"Проба соответствует","Проба не соответствует")</f>
        <v>Проба соответствует</v>
      </c>
    </row>
    <row r="306" customFormat="false" ht="15" hidden="false" customHeight="false" outlineLevel="0" collapsed="false">
      <c r="A306" s="9" t="str">
        <f aca="false">Данные_ввод!A306</f>
        <v>2026-04-21</v>
      </c>
      <c r="B306" s="9" t="str">
        <f aca="false">Данные_ввод!B306</f>
        <v>S-0305</v>
      </c>
      <c r="C306" s="9" t="str">
        <f aca="false">Данные_ввод!C306</f>
        <v>Точка-3 (сброс)</v>
      </c>
      <c r="D306" s="10" t="n">
        <f aca="false">(Данные_ввод!D306-Градуировка_Fe!$B$4)/Градуировка_Fe!$B$3</f>
        <v>0.367371312552251</v>
      </c>
      <c r="E306" s="11" t="str">
        <f aca="false">IF(D306&lt;=Нормативы!$C$2,"норма","превышение")</f>
        <v>превышение</v>
      </c>
      <c r="F306" s="12" t="n">
        <f aca="false">Данные_ввод!E306</f>
        <v>6.53</v>
      </c>
      <c r="G306" s="11" t="str">
        <f aca="false">IF(AND(F306&gt;=Нормативы!$B$3,F306&lt;=Нормативы!$C$3),"норма","превышение")</f>
        <v>норма</v>
      </c>
      <c r="H306" s="13" t="n">
        <f aca="false">Данные_ввод!G306</f>
        <v>623</v>
      </c>
      <c r="I306" s="11" t="str">
        <f aca="false">IF(H306&lt;=Нормативы!$C$4,"норма","превышение")</f>
        <v>норма</v>
      </c>
      <c r="J306" s="11" t="str">
        <f aca="false">IF(AND(E306="норма",G306="норма",I306="норма"),"Проба соответствует","Проба не соответствует")</f>
        <v>Проба не соответствует</v>
      </c>
    </row>
    <row r="307" customFormat="false" ht="15" hidden="false" customHeight="false" outlineLevel="0" collapsed="false">
      <c r="A307" s="9" t="str">
        <f aca="false">Данные_ввод!A307</f>
        <v>2026-04-21</v>
      </c>
      <c r="B307" s="9" t="str">
        <f aca="false">Данные_ввод!B307</f>
        <v>S-0306</v>
      </c>
      <c r="C307" s="9" t="str">
        <f aca="false">Данные_ввод!C307</f>
        <v>Точка-1 (скважина)</v>
      </c>
      <c r="D307" s="10" t="n">
        <f aca="false">(Данные_ввод!D307-Градуировка_Fe!$B$4)/Градуировка_Fe!$B$3</f>
        <v>0.128986026513794</v>
      </c>
      <c r="E307" s="11" t="str">
        <f aca="false">IF(D307&lt;=Нормативы!$C$2,"норма","превышение")</f>
        <v>норма</v>
      </c>
      <c r="F307" s="12" t="n">
        <f aca="false">Данные_ввод!E307</f>
        <v>7.39</v>
      </c>
      <c r="G307" s="11" t="str">
        <f aca="false">IF(AND(F307&gt;=Нормативы!$B$3,F307&lt;=Нормативы!$C$3),"норма","превышение")</f>
        <v>норма</v>
      </c>
      <c r="H307" s="13" t="n">
        <f aca="false">Данные_ввод!G307</f>
        <v>480</v>
      </c>
      <c r="I307" s="11" t="str">
        <f aca="false">IF(H307&lt;=Нормативы!$C$4,"норма","превышение")</f>
        <v>норма</v>
      </c>
      <c r="J307" s="11" t="str">
        <f aca="false">IF(AND(E307="норма",G307="норма",I307="норма"),"Проба соответствует","Проба не соответствует")</f>
        <v>Проба соответствует</v>
      </c>
    </row>
    <row r="308" customFormat="false" ht="15" hidden="false" customHeight="false" outlineLevel="0" collapsed="false">
      <c r="A308" s="9" t="str">
        <f aca="false">Данные_ввод!A308</f>
        <v>2026-04-21</v>
      </c>
      <c r="B308" s="9" t="str">
        <f aca="false">Данные_ввод!B308</f>
        <v>S-0307</v>
      </c>
      <c r="C308" s="9" t="str">
        <f aca="false">Данные_ввод!C308</f>
        <v>Точка-2 (резервуар)</v>
      </c>
      <c r="D308" s="10" t="n">
        <f aca="false">(Данные_ввод!D308-Градуировка_Fe!$B$4)/Градуировка_Fe!$B$3</f>
        <v>0.206735936940165</v>
      </c>
      <c r="E308" s="11" t="str">
        <f aca="false">IF(D308&lt;=Нормативы!$C$2,"норма","превышение")</f>
        <v>норма</v>
      </c>
      <c r="F308" s="12" t="n">
        <f aca="false">Данные_ввод!E308</f>
        <v>7.09</v>
      </c>
      <c r="G308" s="11" t="str">
        <f aca="false">IF(AND(F308&gt;=Нормативы!$B$3,F308&lt;=Нормативы!$C$3),"норма","превышение")</f>
        <v>норма</v>
      </c>
      <c r="H308" s="13" t="n">
        <f aca="false">Данные_ввод!G308</f>
        <v>776</v>
      </c>
      <c r="I308" s="11" t="str">
        <f aca="false">IF(H308&lt;=Нормативы!$C$4,"норма","превышение")</f>
        <v>норма</v>
      </c>
      <c r="J308" s="11" t="str">
        <f aca="false">IF(AND(E308="норма",G308="норма",I308="норма"),"Проба соответствует","Проба не соответствует")</f>
        <v>Проба соответствует</v>
      </c>
    </row>
    <row r="309" customFormat="false" ht="15" hidden="false" customHeight="false" outlineLevel="0" collapsed="false">
      <c r="A309" s="9" t="str">
        <f aca="false">Данные_ввод!A309</f>
        <v>2026-04-21</v>
      </c>
      <c r="B309" s="9" t="str">
        <f aca="false">Данные_ввод!B309</f>
        <v>S-0308</v>
      </c>
      <c r="C309" s="9" t="str">
        <f aca="false">Данные_ввод!C309</f>
        <v>Точка-2 (резервуар)</v>
      </c>
      <c r="D309" s="10" t="n">
        <f aca="false">(Данные_ввод!D309-Градуировка_Fe!$B$4)/Градуировка_Fe!$B$3</f>
        <v>0.0914845336199689</v>
      </c>
      <c r="E309" s="11" t="str">
        <f aca="false">IF(D309&lt;=Нормативы!$C$2,"норма","превышение")</f>
        <v>норма</v>
      </c>
      <c r="F309" s="12" t="n">
        <f aca="false">Данные_ввод!E309</f>
        <v>6.35</v>
      </c>
      <c r="G309" s="11" t="str">
        <f aca="false">IF(AND(F309&gt;=Нормативы!$B$3,F309&lt;=Нормативы!$C$3),"норма","превышение")</f>
        <v>норма</v>
      </c>
      <c r="H309" s="13" t="n">
        <f aca="false">Данные_ввод!G309</f>
        <v>557</v>
      </c>
      <c r="I309" s="11" t="str">
        <f aca="false">IF(H309&lt;=Нормативы!$C$4,"норма","превышение")</f>
        <v>норма</v>
      </c>
      <c r="J309" s="11" t="str">
        <f aca="false">IF(AND(E309="норма",G309="норма",I309="норма"),"Проба соответствует","Проба не соответствует")</f>
        <v>Проба соответствует</v>
      </c>
    </row>
    <row r="310" customFormat="false" ht="15" hidden="false" customHeight="false" outlineLevel="0" collapsed="false">
      <c r="A310" s="9" t="str">
        <f aca="false">Данные_ввод!A310</f>
        <v>2026-04-22</v>
      </c>
      <c r="B310" s="9" t="str">
        <f aca="false">Данные_ввод!B310</f>
        <v>S-0309</v>
      </c>
      <c r="C310" s="9" t="str">
        <f aca="false">Данные_ввод!C310</f>
        <v>Точка-1 (скважина)</v>
      </c>
      <c r="D310" s="10" t="n">
        <f aca="false">(Данные_ввод!D310-Градуировка_Fe!$B$4)/Градуировка_Fe!$B$3</f>
        <v>0.181655320673594</v>
      </c>
      <c r="E310" s="11" t="str">
        <f aca="false">IF(D310&lt;=Нормативы!$C$2,"норма","превышение")</f>
        <v>норма</v>
      </c>
      <c r="F310" s="12" t="n">
        <f aca="false">Данные_ввод!E310</f>
        <v>7.42</v>
      </c>
      <c r="G310" s="11" t="str">
        <f aca="false">IF(AND(F310&gt;=Нормативы!$B$3,F310&lt;=Нормативы!$C$3),"норма","превышение")</f>
        <v>норма</v>
      </c>
      <c r="H310" s="13" t="n">
        <f aca="false">Данные_ввод!G310</f>
        <v>882</v>
      </c>
      <c r="I310" s="11" t="str">
        <f aca="false">IF(H310&lt;=Нормативы!$C$4,"норма","превышение")</f>
        <v>норма</v>
      </c>
      <c r="J310" s="11" t="str">
        <f aca="false">IF(AND(E310="норма",G310="норма",I310="норма"),"Проба соответствует","Проба не соответствует")</f>
        <v>Проба соответствует</v>
      </c>
    </row>
    <row r="311" customFormat="false" ht="15" hidden="false" customHeight="false" outlineLevel="0" collapsed="false">
      <c r="A311" s="9" t="str">
        <f aca="false">Данные_ввод!A311</f>
        <v>2026-04-22</v>
      </c>
      <c r="B311" s="9" t="str">
        <f aca="false">Данные_ввод!B311</f>
        <v>S-0310</v>
      </c>
      <c r="C311" s="9" t="str">
        <f aca="false">Данные_ввод!C311</f>
        <v>Точка-1 (скважина)</v>
      </c>
      <c r="D311" s="10" t="n">
        <f aca="false">(Данные_ввод!D311-Градуировка_Fe!$B$4)/Градуировка_Fe!$B$3</f>
        <v>0.0232891436761018</v>
      </c>
      <c r="E311" s="11" t="str">
        <f aca="false">IF(D311&lt;=Нормативы!$C$2,"норма","превышение")</f>
        <v>норма</v>
      </c>
      <c r="F311" s="12" t="n">
        <f aca="false">Данные_ввод!E311</f>
        <v>8.16</v>
      </c>
      <c r="G311" s="11" t="str">
        <f aca="false">IF(AND(F311&gt;=Нормативы!$B$3,F311&lt;=Нормативы!$C$3),"норма","превышение")</f>
        <v>норма</v>
      </c>
      <c r="H311" s="13" t="n">
        <f aca="false">Данные_ввод!G311</f>
        <v>654</v>
      </c>
      <c r="I311" s="11" t="str">
        <f aca="false">IF(H311&lt;=Нормативы!$C$4,"норма","превышение")</f>
        <v>норма</v>
      </c>
      <c r="J311" s="11" t="str">
        <f aca="false">IF(AND(E311="норма",G311="норма",I311="норма"),"Проба соответствует","Проба не соответствует")</f>
        <v>Проба соответствует</v>
      </c>
    </row>
    <row r="312" customFormat="false" ht="15" hidden="false" customHeight="false" outlineLevel="0" collapsed="false">
      <c r="A312" s="9" t="str">
        <f aca="false">Данные_ввод!A312</f>
        <v>2026-04-22</v>
      </c>
      <c r="B312" s="9" t="str">
        <f aca="false">Данные_ввод!B312</f>
        <v>S-0311</v>
      </c>
      <c r="C312" s="9" t="str">
        <f aca="false">Данные_ввод!C312</f>
        <v>Точка-1 (скважина)</v>
      </c>
      <c r="D312" s="10" t="n">
        <f aca="false">(Данные_ввод!D312-Градуировка_Fe!$B$4)/Градуировка_Fe!$B$3</f>
        <v>0.0398901230144512</v>
      </c>
      <c r="E312" s="11" t="str">
        <f aca="false">IF(D312&lt;=Нормативы!$C$2,"норма","превышение")</f>
        <v>норма</v>
      </c>
      <c r="F312" s="12" t="n">
        <f aca="false">Данные_ввод!E312</f>
        <v>7.66</v>
      </c>
      <c r="G312" s="11" t="str">
        <f aca="false">IF(AND(F312&gt;=Нормативы!$B$3,F312&lt;=Нормативы!$C$3),"норма","превышение")</f>
        <v>норма</v>
      </c>
      <c r="H312" s="13" t="n">
        <f aca="false">Данные_ввод!G312</f>
        <v>446</v>
      </c>
      <c r="I312" s="11" t="str">
        <f aca="false">IF(H312&lt;=Нормативы!$C$4,"норма","превышение")</f>
        <v>норма</v>
      </c>
      <c r="J312" s="11" t="str">
        <f aca="false">IF(AND(E312="норма",G312="норма",I312="норма"),"Проба соответствует","Проба не соответствует")</f>
        <v>Проба соответствует</v>
      </c>
    </row>
    <row r="313" customFormat="false" ht="15" hidden="false" customHeight="false" outlineLevel="0" collapsed="false">
      <c r="A313" s="9" t="str">
        <f aca="false">Данные_ввод!A313</f>
        <v>2026-04-22</v>
      </c>
      <c r="B313" s="9" t="str">
        <f aca="false">Данные_ввод!B313</f>
        <v>S-0312</v>
      </c>
      <c r="C313" s="9" t="str">
        <f aca="false">Данные_ввод!C313</f>
        <v>Точка-2 (резервуар)</v>
      </c>
      <c r="D313" s="10" t="n">
        <f aca="false">(Данные_ввод!D313-Градуировка_Fe!$B$4)/Градуировка_Fe!$B$3</f>
        <v>0.333811059357459</v>
      </c>
      <c r="E313" s="11" t="str">
        <f aca="false">IF(D313&lt;=Нормативы!$C$2,"норма","превышение")</f>
        <v>превышение</v>
      </c>
      <c r="F313" s="12" t="n">
        <f aca="false">Данные_ввод!E313</f>
        <v>7.02</v>
      </c>
      <c r="G313" s="11" t="str">
        <f aca="false">IF(AND(F313&gt;=Нормативы!$B$3,F313&lt;=Нормативы!$C$3),"норма","превышение")</f>
        <v>норма</v>
      </c>
      <c r="H313" s="13" t="n">
        <f aca="false">Данные_ввод!G313</f>
        <v>805</v>
      </c>
      <c r="I313" s="11" t="str">
        <f aca="false">IF(H313&lt;=Нормативы!$C$4,"норма","превышение")</f>
        <v>норма</v>
      </c>
      <c r="J313" s="11" t="str">
        <f aca="false">IF(AND(E313="норма",G313="норма",I313="норма"),"Проба соответствует","Проба не соответствует")</f>
        <v>Проба не соответствует</v>
      </c>
    </row>
    <row r="314" customFormat="false" ht="15" hidden="false" customHeight="false" outlineLevel="0" collapsed="false">
      <c r="A314" s="9" t="str">
        <f aca="false">Данные_ввод!A314</f>
        <v>2026-04-23</v>
      </c>
      <c r="B314" s="9" t="str">
        <f aca="false">Данные_ввод!B314</f>
        <v>S-0313</v>
      </c>
      <c r="C314" s="9" t="str">
        <f aca="false">Данные_ввод!C314</f>
        <v>Точка-2 (резервуар)</v>
      </c>
      <c r="D314" s="10" t="n">
        <f aca="false">(Данные_ввод!D314-Градуировка_Fe!$B$4)/Градуировка_Fe!$B$3</f>
        <v>0.174250567299654</v>
      </c>
      <c r="E314" s="11" t="str">
        <f aca="false">IF(D314&lt;=Нормативы!$C$2,"норма","превышение")</f>
        <v>норма</v>
      </c>
      <c r="F314" s="12" t="n">
        <f aca="false">Данные_ввод!E314</f>
        <v>7.57</v>
      </c>
      <c r="G314" s="11" t="str">
        <f aca="false">IF(AND(F314&gt;=Нормативы!$B$3,F314&lt;=Нормативы!$C$3),"норма","превышение")</f>
        <v>норма</v>
      </c>
      <c r="H314" s="13" t="n">
        <f aca="false">Данные_ввод!G314</f>
        <v>984</v>
      </c>
      <c r="I314" s="11" t="str">
        <f aca="false">IF(H314&lt;=Нормативы!$C$4,"норма","превышение")</f>
        <v>норма</v>
      </c>
      <c r="J314" s="11" t="str">
        <f aca="false">IF(AND(E314="норма",G314="норма",I314="норма"),"Проба соответствует","Проба не соответствует")</f>
        <v>Проба соответствует</v>
      </c>
    </row>
    <row r="315" customFormat="false" ht="15" hidden="false" customHeight="false" outlineLevel="0" collapsed="false">
      <c r="A315" s="9" t="str">
        <f aca="false">Данные_ввод!A315</f>
        <v>2026-04-23</v>
      </c>
      <c r="B315" s="9" t="str">
        <f aca="false">Данные_ввод!B315</f>
        <v>S-0314</v>
      </c>
      <c r="C315" s="9" t="str">
        <f aca="false">Данные_ввод!C315</f>
        <v>Точка-1 (скважина)</v>
      </c>
      <c r="D315" s="10" t="n">
        <f aca="false">(Данные_ввод!D315-Градуировка_Fe!$B$4)/Градуировка_Fe!$B$3</f>
        <v>0.154902663322584</v>
      </c>
      <c r="E315" s="11" t="str">
        <f aca="false">IF(D315&lt;=Нормативы!$C$2,"норма","превышение")</f>
        <v>норма</v>
      </c>
      <c r="F315" s="12" t="n">
        <f aca="false">Данные_ввод!E315</f>
        <v>6.5</v>
      </c>
      <c r="G315" s="11" t="str">
        <f aca="false">IF(AND(F315&gt;=Нормативы!$B$3,F315&lt;=Нормативы!$C$3),"норма","превышение")</f>
        <v>норма</v>
      </c>
      <c r="H315" s="13" t="n">
        <f aca="false">Данные_ввод!G315</f>
        <v>561</v>
      </c>
      <c r="I315" s="11" t="str">
        <f aca="false">IF(H315&lt;=Нормативы!$C$4,"норма","превышение")</f>
        <v>норма</v>
      </c>
      <c r="J315" s="11" t="str">
        <f aca="false">IF(AND(E315="норма",G315="норма",I315="норма"),"Проба соответствует","Проба не соответствует")</f>
        <v>Проба соответствует</v>
      </c>
    </row>
    <row r="316" customFormat="false" ht="15" hidden="false" customHeight="false" outlineLevel="0" collapsed="false">
      <c r="A316" s="9" t="str">
        <f aca="false">Данные_ввод!A316</f>
        <v>2026-04-23</v>
      </c>
      <c r="B316" s="9" t="str">
        <f aca="false">Данные_ввод!B316</f>
        <v>S-0315</v>
      </c>
      <c r="C316" s="9" t="str">
        <f aca="false">Данные_ввод!C316</f>
        <v>Точка-3 (сброс)</v>
      </c>
      <c r="D316" s="10" t="n">
        <f aca="false">(Данные_ввод!D316-Градуировка_Fe!$B$4)/Градуировка_Fe!$B$3</f>
        <v>0.310999641705482</v>
      </c>
      <c r="E316" s="11" t="str">
        <f aca="false">IF(D316&lt;=Нормативы!$C$2,"норма","превышение")</f>
        <v>превышение</v>
      </c>
      <c r="F316" s="12" t="n">
        <f aca="false">Данные_ввод!E316</f>
        <v>7.65</v>
      </c>
      <c r="G316" s="11" t="str">
        <f aca="false">IF(AND(F316&gt;=Нормативы!$B$3,F316&lt;=Нормативы!$C$3),"норма","превышение")</f>
        <v>норма</v>
      </c>
      <c r="H316" s="13" t="n">
        <f aca="false">Данные_ввод!G316</f>
        <v>892</v>
      </c>
      <c r="I316" s="11" t="str">
        <f aca="false">IF(H316&lt;=Нормативы!$C$4,"норма","превышение")</f>
        <v>норма</v>
      </c>
      <c r="J316" s="11" t="str">
        <f aca="false">IF(AND(E316="норма",G316="норма",I316="норма"),"Проба соответствует","Проба не соответствует")</f>
        <v>Проба не соответствует</v>
      </c>
    </row>
    <row r="317" customFormat="false" ht="15" hidden="false" customHeight="false" outlineLevel="0" collapsed="false">
      <c r="A317" s="9" t="str">
        <f aca="false">Данные_ввод!A317</f>
        <v>2026-04-23</v>
      </c>
      <c r="B317" s="9" t="str">
        <f aca="false">Данные_ввод!B317</f>
        <v>S-0316</v>
      </c>
      <c r="C317" s="9" t="str">
        <f aca="false">Данные_ввод!C317</f>
        <v>Точка-3 (сброс)</v>
      </c>
      <c r="D317" s="10" t="n">
        <f aca="false">(Данные_ввод!D317-Градуировка_Fe!$B$4)/Градуировка_Fe!$B$3</f>
        <v>0.360444285202436</v>
      </c>
      <c r="E317" s="11" t="str">
        <f aca="false">IF(D317&lt;=Нормативы!$C$2,"норма","превышение")</f>
        <v>превышение</v>
      </c>
      <c r="F317" s="12" t="n">
        <f aca="false">Данные_ввод!E317</f>
        <v>7.15</v>
      </c>
      <c r="G317" s="11" t="str">
        <f aca="false">IF(AND(F317&gt;=Нормативы!$B$3,F317&lt;=Нормативы!$C$3),"норма","превышение")</f>
        <v>норма</v>
      </c>
      <c r="H317" s="13" t="n">
        <f aca="false">Данные_ввод!G317</f>
        <v>529</v>
      </c>
      <c r="I317" s="11" t="str">
        <f aca="false">IF(H317&lt;=Нормативы!$C$4,"норма","превышение")</f>
        <v>норма</v>
      </c>
      <c r="J317" s="11" t="str">
        <f aca="false">IF(AND(E317="норма",G317="норма",I317="норма"),"Проба соответствует","Проба не соответствует")</f>
        <v>Проба не соответствует</v>
      </c>
    </row>
    <row r="318" customFormat="false" ht="15" hidden="false" customHeight="false" outlineLevel="0" collapsed="false">
      <c r="A318" s="9" t="str">
        <f aca="false">Данные_ввод!A318</f>
        <v>2026-04-24</v>
      </c>
      <c r="B318" s="9" t="str">
        <f aca="false">Данные_ввод!B318</f>
        <v>S-0317</v>
      </c>
      <c r="C318" s="9" t="str">
        <f aca="false">Данные_ввод!C318</f>
        <v>Точка-1 (скважина)</v>
      </c>
      <c r="D318" s="10" t="n">
        <f aca="false">(Данные_ввод!D318-Градуировка_Fe!$B$4)/Градуировка_Fe!$B$3</f>
        <v>0.150841992117521</v>
      </c>
      <c r="E318" s="11" t="str">
        <f aca="false">IF(D318&lt;=Нормативы!$C$2,"норма","превышение")</f>
        <v>норма</v>
      </c>
      <c r="F318" s="12" t="n">
        <f aca="false">Данные_ввод!E318</f>
        <v>7.14</v>
      </c>
      <c r="G318" s="11" t="str">
        <f aca="false">IF(AND(F318&gt;=Нормативы!$B$3,F318&lt;=Нормативы!$C$3),"норма","превышение")</f>
        <v>норма</v>
      </c>
      <c r="H318" s="13" t="n">
        <f aca="false">Данные_ввод!G318</f>
        <v>636</v>
      </c>
      <c r="I318" s="11" t="str">
        <f aca="false">IF(H318&lt;=Нормативы!$C$4,"норма","превышение")</f>
        <v>норма</v>
      </c>
      <c r="J318" s="11" t="str">
        <f aca="false">IF(AND(E318="норма",G318="норма",I318="норма"),"Проба соответствует","Проба не соответствует")</f>
        <v>Проба соответствует</v>
      </c>
    </row>
    <row r="319" customFormat="false" ht="15" hidden="false" customHeight="false" outlineLevel="0" collapsed="false">
      <c r="A319" s="9" t="str">
        <f aca="false">Данные_ввод!A319</f>
        <v>2026-04-24</v>
      </c>
      <c r="B319" s="9" t="str">
        <f aca="false">Данные_ввод!B319</f>
        <v>S-0318</v>
      </c>
      <c r="C319" s="9" t="str">
        <f aca="false">Данные_ввод!C319</f>
        <v>Точка-3 (сброс)</v>
      </c>
      <c r="D319" s="10" t="n">
        <f aca="false">(Данные_ввод!D319-Градуировка_Fe!$B$4)/Градуировка_Fe!$B$3</f>
        <v>0.221426012182014</v>
      </c>
      <c r="E319" s="11" t="str">
        <f aca="false">IF(D319&lt;=Нормативы!$C$2,"норма","превышение")</f>
        <v>норма</v>
      </c>
      <c r="F319" s="12" t="n">
        <f aca="false">Данные_ввод!E319</f>
        <v>6.75</v>
      </c>
      <c r="G319" s="11" t="str">
        <f aca="false">IF(AND(F319&gt;=Нормативы!$B$3,F319&lt;=Нормативы!$C$3),"норма","превышение")</f>
        <v>норма</v>
      </c>
      <c r="H319" s="13" t="n">
        <f aca="false">Данные_ввод!G319</f>
        <v>526</v>
      </c>
      <c r="I319" s="11" t="str">
        <f aca="false">IF(H319&lt;=Нормативы!$C$4,"норма","превышение")</f>
        <v>норма</v>
      </c>
      <c r="J319" s="11" t="str">
        <f aca="false">IF(AND(E319="норма",G319="норма",I319="норма"),"Проба соответствует","Проба не соответствует")</f>
        <v>Проба соответствует</v>
      </c>
    </row>
    <row r="320" customFormat="false" ht="15" hidden="false" customHeight="false" outlineLevel="0" collapsed="false">
      <c r="A320" s="9" t="str">
        <f aca="false">Данные_ввод!A320</f>
        <v>2026-04-24</v>
      </c>
      <c r="B320" s="9" t="str">
        <f aca="false">Данные_ввод!B320</f>
        <v>S-0319</v>
      </c>
      <c r="C320" s="9" t="str">
        <f aca="false">Данные_ввод!C320</f>
        <v>Точка-3 (сброс)</v>
      </c>
      <c r="D320" s="10" t="n">
        <f aca="false">(Данные_ввод!D320-Градуировка_Fe!$B$4)/Градуировка_Fe!$B$3</f>
        <v>0.153708348262272</v>
      </c>
      <c r="E320" s="11" t="str">
        <f aca="false">IF(D320&lt;=Нормативы!$C$2,"норма","превышение")</f>
        <v>норма</v>
      </c>
      <c r="F320" s="12" t="n">
        <f aca="false">Данные_ввод!E320</f>
        <v>6.85</v>
      </c>
      <c r="G320" s="11" t="str">
        <f aca="false">IF(AND(F320&gt;=Нормативы!$B$3,F320&lt;=Нормативы!$C$3),"норма","превышение")</f>
        <v>норма</v>
      </c>
      <c r="H320" s="13" t="n">
        <f aca="false">Данные_ввод!G320</f>
        <v>617</v>
      </c>
      <c r="I320" s="11" t="str">
        <f aca="false">IF(H320&lt;=Нормативы!$C$4,"норма","превышение")</f>
        <v>норма</v>
      </c>
      <c r="J320" s="11" t="str">
        <f aca="false">IF(AND(E320="норма",G320="норма",I320="норма"),"Проба соответствует","Проба не соответствует")</f>
        <v>Проба соответствует</v>
      </c>
    </row>
    <row r="321" customFormat="false" ht="15" hidden="false" customHeight="false" outlineLevel="0" collapsed="false">
      <c r="A321" s="9" t="str">
        <f aca="false">Данные_ввод!A321</f>
        <v>2026-04-24</v>
      </c>
      <c r="B321" s="9" t="str">
        <f aca="false">Данные_ввод!B321</f>
        <v>S-0320</v>
      </c>
      <c r="C321" s="9" t="str">
        <f aca="false">Данные_ввод!C321</f>
        <v>Точка-1 (скважина)</v>
      </c>
      <c r="D321" s="10" t="n">
        <f aca="false">(Данные_ввод!D321-Градуировка_Fe!$B$4)/Градуировка_Fe!$B$3</f>
        <v>0.0509972530753613</v>
      </c>
      <c r="E321" s="11" t="str">
        <f aca="false">IF(D321&lt;=Нормативы!$C$2,"норма","превышение")</f>
        <v>норма</v>
      </c>
      <c r="F321" s="12" t="n">
        <f aca="false">Данные_ввод!E321</f>
        <v>6.73</v>
      </c>
      <c r="G321" s="11" t="str">
        <f aca="false">IF(AND(F321&gt;=Нормативы!$B$3,F321&lt;=Нормативы!$C$3),"норма","превышение")</f>
        <v>норма</v>
      </c>
      <c r="H321" s="13" t="n">
        <f aca="false">Данные_ввод!G321</f>
        <v>804</v>
      </c>
      <c r="I321" s="11" t="str">
        <f aca="false">IF(H321&lt;=Нормативы!$C$4,"норма","превышение")</f>
        <v>норма</v>
      </c>
      <c r="J321" s="11" t="str">
        <f aca="false">IF(AND(E321="норма",G321="норма",I321="норма"),"Проба соответствует","Проба не соответствует")</f>
        <v>Проба соответствует</v>
      </c>
    </row>
    <row r="322" customFormat="false" ht="15" hidden="false" customHeight="false" outlineLevel="0" collapsed="false">
      <c r="A322" s="9" t="str">
        <f aca="false">Данные_ввод!A322</f>
        <v>2026-04-27</v>
      </c>
      <c r="B322" s="9" t="str">
        <f aca="false">Данные_ввод!B322</f>
        <v>S-0321</v>
      </c>
      <c r="C322" s="9" t="str">
        <f aca="false">Данные_ввод!C322</f>
        <v>Точка-1 (скважина)</v>
      </c>
      <c r="D322" s="10" t="n">
        <f aca="false">(Данные_ввод!D322-Градуировка_Fe!$B$4)/Градуировка_Fe!$B$3</f>
        <v>0.188224053505315</v>
      </c>
      <c r="E322" s="11" t="str">
        <f aca="false">IF(D322&lt;=Нормативы!$C$2,"норма","превышение")</f>
        <v>норма</v>
      </c>
      <c r="F322" s="12" t="n">
        <f aca="false">Данные_ввод!E322</f>
        <v>7.12</v>
      </c>
      <c r="G322" s="11" t="str">
        <f aca="false">IF(AND(F322&gt;=Нормативы!$B$3,F322&lt;=Нормативы!$C$3),"норма","превышение")</f>
        <v>норма</v>
      </c>
      <c r="H322" s="13" t="n">
        <f aca="false">Данные_ввод!G322</f>
        <v>751</v>
      </c>
      <c r="I322" s="11" t="str">
        <f aca="false">IF(H322&lt;=Нормативы!$C$4,"норма","превышение")</f>
        <v>норма</v>
      </c>
      <c r="J322" s="11" t="str">
        <f aca="false">IF(AND(E322="норма",G322="норма",I322="норма"),"Проба соответствует","Проба не соответствует")</f>
        <v>Проба соответствует</v>
      </c>
    </row>
    <row r="323" customFormat="false" ht="15" hidden="false" customHeight="false" outlineLevel="0" collapsed="false">
      <c r="A323" s="9" t="str">
        <f aca="false">Данные_ввод!A323</f>
        <v>2026-04-27</v>
      </c>
      <c r="B323" s="9" t="str">
        <f aca="false">Данные_ввод!B323</f>
        <v>S-0322</v>
      </c>
      <c r="C323" s="9" t="str">
        <f aca="false">Данные_ввод!C323</f>
        <v>Точка-1 (скважина)</v>
      </c>
      <c r="D323" s="10" t="n">
        <f aca="false">(Данные_ввод!D323-Градуировка_Fe!$B$4)/Градуировка_Fe!$B$3</f>
        <v>0.0798996775349337</v>
      </c>
      <c r="E323" s="11" t="str">
        <f aca="false">IF(D323&lt;=Нормативы!$C$2,"норма","превышение")</f>
        <v>норма</v>
      </c>
      <c r="F323" s="12" t="n">
        <f aca="false">Данные_ввод!E323</f>
        <v>6.88</v>
      </c>
      <c r="G323" s="11" t="str">
        <f aca="false">IF(AND(F323&gt;=Нормативы!$B$3,F323&lt;=Нормативы!$C$3),"норма","превышение")</f>
        <v>норма</v>
      </c>
      <c r="H323" s="13" t="n">
        <f aca="false">Данные_ввод!G323</f>
        <v>914</v>
      </c>
      <c r="I323" s="11" t="str">
        <f aca="false">IF(H323&lt;=Нормативы!$C$4,"норма","превышение")</f>
        <v>норма</v>
      </c>
      <c r="J323" s="11" t="str">
        <f aca="false">IF(AND(E323="норма",G323="норма",I323="норма"),"Проба соответствует","Проба не соответствует")</f>
        <v>Проба соответствует</v>
      </c>
    </row>
    <row r="324" customFormat="false" ht="15" hidden="false" customHeight="false" outlineLevel="0" collapsed="false">
      <c r="A324" s="9" t="str">
        <f aca="false">Данные_ввод!A324</f>
        <v>2026-04-27</v>
      </c>
      <c r="B324" s="9" t="str">
        <f aca="false">Данные_ввод!B324</f>
        <v>S-0323</v>
      </c>
      <c r="C324" s="9" t="str">
        <f aca="false">Данные_ввод!C324</f>
        <v>Точка-1 (скважина)</v>
      </c>
      <c r="D324" s="10" t="n">
        <f aca="false">(Данные_ввод!D324-Градуировка_Fe!$B$4)/Градуировка_Fe!$B$3</f>
        <v>-0.0026274931326884</v>
      </c>
      <c r="E324" s="11" t="str">
        <f aca="false">IF(D324&lt;=Нормативы!$C$2,"норма","превышение")</f>
        <v>норма</v>
      </c>
      <c r="F324" s="12" t="n">
        <f aca="false">Данные_ввод!E324</f>
        <v>6.97</v>
      </c>
      <c r="G324" s="11" t="str">
        <f aca="false">IF(AND(F324&gt;=Нормативы!$B$3,F324&lt;=Нормативы!$C$3),"норма","превышение")</f>
        <v>норма</v>
      </c>
      <c r="H324" s="13" t="n">
        <f aca="false">Данные_ввод!G324</f>
        <v>825</v>
      </c>
      <c r="I324" s="11" t="str">
        <f aca="false">IF(H324&lt;=Нормативы!$C$4,"норма","превышение")</f>
        <v>норма</v>
      </c>
      <c r="J324" s="11" t="str">
        <f aca="false">IF(AND(E324="норма",G324="норма",I324="норма"),"Проба соответствует","Проба не соответствует")</f>
        <v>Проба соответствует</v>
      </c>
    </row>
    <row r="325" customFormat="false" ht="15" hidden="false" customHeight="false" outlineLevel="0" collapsed="false">
      <c r="A325" s="9" t="str">
        <f aca="false">Данные_ввод!A325</f>
        <v>2026-04-27</v>
      </c>
      <c r="B325" s="9" t="str">
        <f aca="false">Данные_ввод!B325</f>
        <v>S-0324</v>
      </c>
      <c r="C325" s="9" t="str">
        <f aca="false">Данные_ввод!C325</f>
        <v>Точка-2 (резервуар)</v>
      </c>
      <c r="D325" s="10" t="n">
        <f aca="false">(Данные_ввод!D325-Градуировка_Fe!$B$4)/Градуировка_Fe!$B$3</f>
        <v>0.414905051952705</v>
      </c>
      <c r="E325" s="11" t="str">
        <f aca="false">IF(D325&lt;=Нормативы!$C$2,"норма","превышение")</f>
        <v>превышение</v>
      </c>
      <c r="F325" s="12" t="n">
        <f aca="false">Данные_ввод!E325</f>
        <v>6.14</v>
      </c>
      <c r="G325" s="11" t="str">
        <f aca="false">IF(AND(F325&gt;=Нормативы!$B$3,F325&lt;=Нормативы!$C$3),"норма","превышение")</f>
        <v>норма</v>
      </c>
      <c r="H325" s="13" t="n">
        <f aca="false">Данные_ввод!G325</f>
        <v>707</v>
      </c>
      <c r="I325" s="11" t="str">
        <f aca="false">IF(H325&lt;=Нормативы!$C$4,"норма","превышение")</f>
        <v>норма</v>
      </c>
      <c r="J325" s="11" t="str">
        <f aca="false">IF(AND(E325="норма",G325="норма",I325="норма"),"Проба соответствует","Проба не соответствует")</f>
        <v>Проба не соответствует</v>
      </c>
    </row>
    <row r="326" customFormat="false" ht="15" hidden="false" customHeight="false" outlineLevel="0" collapsed="false">
      <c r="A326" s="9" t="str">
        <f aca="false">Данные_ввод!A326</f>
        <v>2026-04-28</v>
      </c>
      <c r="B326" s="9" t="str">
        <f aca="false">Данные_ввод!B326</f>
        <v>S-0325</v>
      </c>
      <c r="C326" s="9" t="str">
        <f aca="false">Данные_ввод!C326</f>
        <v>Точка-2 (резервуар)</v>
      </c>
      <c r="D326" s="10" t="n">
        <f aca="false">(Данные_ввод!D326-Градуировка_Fe!$B$4)/Градуировка_Fe!$B$3</f>
        <v>0.122656156694136</v>
      </c>
      <c r="E326" s="11" t="str">
        <f aca="false">IF(D326&lt;=Нормативы!$C$2,"норма","превышение")</f>
        <v>норма</v>
      </c>
      <c r="F326" s="12" t="n">
        <f aca="false">Данные_ввод!E326</f>
        <v>7.84</v>
      </c>
      <c r="G326" s="11" t="str">
        <f aca="false">IF(AND(F326&gt;=Нормативы!$B$3,F326&lt;=Нормативы!$C$3),"норма","превышение")</f>
        <v>норма</v>
      </c>
      <c r="H326" s="13" t="n">
        <f aca="false">Данные_ввод!G326</f>
        <v>818</v>
      </c>
      <c r="I326" s="11" t="str">
        <f aca="false">IF(H326&lt;=Нормативы!$C$4,"норма","превышение")</f>
        <v>норма</v>
      </c>
      <c r="J326" s="11" t="str">
        <f aca="false">IF(AND(E326="норма",G326="норма",I326="норма"),"Проба соответствует","Проба не соответствует")</f>
        <v>Проба соответствует</v>
      </c>
    </row>
    <row r="327" customFormat="false" ht="15" hidden="false" customHeight="false" outlineLevel="0" collapsed="false">
      <c r="A327" s="9" t="str">
        <f aca="false">Данные_ввод!A327</f>
        <v>2026-04-28</v>
      </c>
      <c r="B327" s="9" t="str">
        <f aca="false">Данные_ввод!B327</f>
        <v>S-0326</v>
      </c>
      <c r="C327" s="9" t="str">
        <f aca="false">Данные_ввод!C327</f>
        <v>Точка-1 (скважина)</v>
      </c>
      <c r="D327" s="10" t="n">
        <f aca="false">(Данные_ввод!D327-Градуировка_Fe!$B$4)/Градуировка_Fe!$B$3</f>
        <v>0.22572554639914</v>
      </c>
      <c r="E327" s="11" t="str">
        <f aca="false">IF(D327&lt;=Нормативы!$C$2,"норма","превышение")</f>
        <v>норма</v>
      </c>
      <c r="F327" s="12" t="n">
        <f aca="false">Данные_ввод!E327</f>
        <v>7.03</v>
      </c>
      <c r="G327" s="11" t="str">
        <f aca="false">IF(AND(F327&gt;=Нормативы!$B$3,F327&lt;=Нормативы!$C$3),"норма","превышение")</f>
        <v>норма</v>
      </c>
      <c r="H327" s="13" t="n">
        <f aca="false">Данные_ввод!G327</f>
        <v>693</v>
      </c>
      <c r="I327" s="11" t="str">
        <f aca="false">IF(H327&lt;=Нормативы!$C$4,"норма","превышение")</f>
        <v>норма</v>
      </c>
      <c r="J327" s="11" t="str">
        <f aca="false">IF(AND(E327="норма",G327="норма",I327="норма"),"Проба соответствует","Проба не соответствует")</f>
        <v>Проба соответствует</v>
      </c>
    </row>
    <row r="328" customFormat="false" ht="15" hidden="false" customHeight="false" outlineLevel="0" collapsed="false">
      <c r="A328" s="9" t="str">
        <f aca="false">Данные_ввод!A328</f>
        <v>2026-04-28</v>
      </c>
      <c r="B328" s="9" t="str">
        <f aca="false">Данные_ввод!B328</f>
        <v>S-0327</v>
      </c>
      <c r="C328" s="9" t="str">
        <f aca="false">Данные_ввод!C328</f>
        <v>Точка-1 (скважина)</v>
      </c>
      <c r="D328" s="10" t="n">
        <f aca="false">(Данные_ввод!D328-Градуировка_Fe!$B$4)/Градуировка_Fe!$B$3</f>
        <v>0.186074286396751</v>
      </c>
      <c r="E328" s="11" t="str">
        <f aca="false">IF(D328&lt;=Нормативы!$C$2,"норма","превышение")</f>
        <v>норма</v>
      </c>
      <c r="F328" s="12" t="n">
        <f aca="false">Данные_ввод!E328</f>
        <v>7.97</v>
      </c>
      <c r="G328" s="11" t="str">
        <f aca="false">IF(AND(F328&gt;=Нормативы!$B$3,F328&lt;=Нормативы!$C$3),"норма","превышение")</f>
        <v>норма</v>
      </c>
      <c r="H328" s="13" t="n">
        <f aca="false">Данные_ввод!G328</f>
        <v>717</v>
      </c>
      <c r="I328" s="11" t="str">
        <f aca="false">IF(H328&lt;=Нормативы!$C$4,"норма","превышение")</f>
        <v>норма</v>
      </c>
      <c r="J328" s="11" t="str">
        <f aca="false">IF(AND(E328="норма",G328="норма",I328="норма"),"Проба соответствует","Проба не соответствует")</f>
        <v>Проба соответствует</v>
      </c>
    </row>
    <row r="329" customFormat="false" ht="15" hidden="false" customHeight="false" outlineLevel="0" collapsed="false">
      <c r="A329" s="9" t="str">
        <f aca="false">Данные_ввод!A329</f>
        <v>2026-04-28</v>
      </c>
      <c r="B329" s="9" t="str">
        <f aca="false">Данные_ввод!B329</f>
        <v>S-0328</v>
      </c>
      <c r="C329" s="9" t="str">
        <f aca="false">Данные_ввод!C329</f>
        <v>Точка-1 (скважина)</v>
      </c>
      <c r="D329" s="10" t="n">
        <f aca="false">(Данные_ввод!D329-Градуировка_Fe!$B$4)/Градуировка_Fe!$B$3</f>
        <v>0.0501612325331422</v>
      </c>
      <c r="E329" s="11" t="str">
        <f aca="false">IF(D329&lt;=Нормативы!$C$2,"норма","превышение")</f>
        <v>норма</v>
      </c>
      <c r="F329" s="12" t="n">
        <f aca="false">Данные_ввод!E329</f>
        <v>7.45</v>
      </c>
      <c r="G329" s="11" t="str">
        <f aca="false">IF(AND(F329&gt;=Нормативы!$B$3,F329&lt;=Нормативы!$C$3),"норма","превышение")</f>
        <v>норма</v>
      </c>
      <c r="H329" s="13" t="n">
        <f aca="false">Данные_ввод!G329</f>
        <v>377</v>
      </c>
      <c r="I329" s="11" t="str">
        <f aca="false">IF(H329&lt;=Нормативы!$C$4,"норма","превышение")</f>
        <v>норма</v>
      </c>
      <c r="J329" s="11" t="str">
        <f aca="false">IF(AND(E329="норма",G329="норма",I329="норма"),"Проба соответствует","Проба не соответствует")</f>
        <v>Проба соответствует</v>
      </c>
    </row>
    <row r="330" customFormat="false" ht="15" hidden="false" customHeight="false" outlineLevel="0" collapsed="false">
      <c r="A330" s="9" t="str">
        <f aca="false">Данные_ввод!A330</f>
        <v>2026-04-29</v>
      </c>
      <c r="B330" s="9" t="str">
        <f aca="false">Данные_ввод!B330</f>
        <v>S-0329</v>
      </c>
      <c r="C330" s="9" t="str">
        <f aca="false">Данные_ввод!C330</f>
        <v>Точка-1 (скважина)</v>
      </c>
      <c r="D330" s="10" t="n">
        <f aca="false">(Данные_ввод!D330-Градуировка_Fe!$B$4)/Градуировка_Fe!$B$3</f>
        <v>0.0910068075958438</v>
      </c>
      <c r="E330" s="11" t="str">
        <f aca="false">IF(D330&lt;=Нормативы!$C$2,"норма","превышение")</f>
        <v>норма</v>
      </c>
      <c r="F330" s="12" t="n">
        <f aca="false">Данные_ввод!E330</f>
        <v>7.23</v>
      </c>
      <c r="G330" s="11" t="str">
        <f aca="false">IF(AND(F330&gt;=Нормативы!$B$3,F330&lt;=Нормативы!$C$3),"норма","превышение")</f>
        <v>норма</v>
      </c>
      <c r="H330" s="13" t="n">
        <f aca="false">Данные_ввод!G330</f>
        <v>579</v>
      </c>
      <c r="I330" s="11" t="str">
        <f aca="false">IF(H330&lt;=Нормативы!$C$4,"норма","превышение")</f>
        <v>норма</v>
      </c>
      <c r="J330" s="11" t="str">
        <f aca="false">IF(AND(E330="норма",G330="норма",I330="норма"),"Проба соответствует","Проба не соответствует")</f>
        <v>Проба соответствует</v>
      </c>
    </row>
    <row r="331" customFormat="false" ht="15" hidden="false" customHeight="false" outlineLevel="0" collapsed="false">
      <c r="A331" s="9" t="str">
        <f aca="false">Данные_ввод!A331</f>
        <v>2026-04-29</v>
      </c>
      <c r="B331" s="9" t="str">
        <f aca="false">Данные_ввод!B331</f>
        <v>S-0330</v>
      </c>
      <c r="C331" s="9" t="str">
        <f aca="false">Данные_ввод!C331</f>
        <v>Точка-1 (скважина)</v>
      </c>
      <c r="D331" s="10" t="n">
        <f aca="false">(Данные_ввод!D331-Градуировка_Fe!$B$4)/Градуировка_Fe!$B$3</f>
        <v>0.0181535889167562</v>
      </c>
      <c r="E331" s="11" t="str">
        <f aca="false">IF(D331&lt;=Нормативы!$C$2,"норма","превышение")</f>
        <v>норма</v>
      </c>
      <c r="F331" s="12" t="n">
        <f aca="false">Данные_ввод!E331</f>
        <v>7.25</v>
      </c>
      <c r="G331" s="11" t="str">
        <f aca="false">IF(AND(F331&gt;=Нормативы!$B$3,F331&lt;=Нормативы!$C$3),"норма","превышение")</f>
        <v>норма</v>
      </c>
      <c r="H331" s="13" t="n">
        <f aca="false">Данные_ввод!G331</f>
        <v>738</v>
      </c>
      <c r="I331" s="11" t="str">
        <f aca="false">IF(H331&lt;=Нормативы!$C$4,"норма","превышение")</f>
        <v>норма</v>
      </c>
      <c r="J331" s="11" t="str">
        <f aca="false">IF(AND(E331="норма",G331="норма",I331="норма"),"Проба соответствует","Проба не соответствует")</f>
        <v>Проба соответствует</v>
      </c>
    </row>
    <row r="332" customFormat="false" ht="15" hidden="false" customHeight="false" outlineLevel="0" collapsed="false">
      <c r="A332" s="9" t="str">
        <f aca="false">Данные_ввод!A332</f>
        <v>2026-04-29</v>
      </c>
      <c r="B332" s="9" t="str">
        <f aca="false">Данные_ввод!B332</f>
        <v>S-0331</v>
      </c>
      <c r="C332" s="9" t="str">
        <f aca="false">Данные_ввод!C332</f>
        <v>Точка-1 (скважина)</v>
      </c>
      <c r="D332" s="10" t="n">
        <f aca="false">(Данные_ввод!D332-Градуировка_Fe!$B$4)/Градуировка_Fe!$B$3</f>
        <v>0.252000477726024</v>
      </c>
      <c r="E332" s="11" t="str">
        <f aca="false">IF(D332&lt;=Нормативы!$C$2,"норма","превышение")</f>
        <v>норма</v>
      </c>
      <c r="F332" s="12" t="n">
        <f aca="false">Данные_ввод!E332</f>
        <v>7.12</v>
      </c>
      <c r="G332" s="11" t="str">
        <f aca="false">IF(AND(F332&gt;=Нормативы!$B$3,F332&lt;=Нормативы!$C$3),"норма","превышение")</f>
        <v>норма</v>
      </c>
      <c r="H332" s="13" t="n">
        <f aca="false">Данные_ввод!G332</f>
        <v>649</v>
      </c>
      <c r="I332" s="11" t="str">
        <f aca="false">IF(H332&lt;=Нормативы!$C$4,"норма","превышение")</f>
        <v>норма</v>
      </c>
      <c r="J332" s="11" t="str">
        <f aca="false">IF(AND(E332="норма",G332="норма",I332="норма"),"Проба соответствует","Проба не соответствует")</f>
        <v>Проба соответствует</v>
      </c>
    </row>
    <row r="333" customFormat="false" ht="15" hidden="false" customHeight="false" outlineLevel="0" collapsed="false">
      <c r="A333" s="9" t="str">
        <f aca="false">Данные_ввод!A333</f>
        <v>2026-04-29</v>
      </c>
      <c r="B333" s="9" t="str">
        <f aca="false">Данные_ввод!B333</f>
        <v>S-0332</v>
      </c>
      <c r="C333" s="9" t="str">
        <f aca="false">Данные_ввод!C333</f>
        <v>Точка-2 (резервуар)</v>
      </c>
      <c r="D333" s="10" t="n">
        <f aca="false">(Данные_ввод!D333-Градуировка_Fe!$B$4)/Градуировка_Fe!$B$3</f>
        <v>0.133643855249015</v>
      </c>
      <c r="E333" s="11" t="str">
        <f aca="false">IF(D333&lt;=Нормативы!$C$2,"норма","превышение")</f>
        <v>норма</v>
      </c>
      <c r="F333" s="12" t="n">
        <f aca="false">Данные_ввод!E333</f>
        <v>6.85</v>
      </c>
      <c r="G333" s="11" t="str">
        <f aca="false">IF(AND(F333&gt;=Нормативы!$B$3,F333&lt;=Нормативы!$C$3),"норма","превышение")</f>
        <v>норма</v>
      </c>
      <c r="H333" s="13" t="n">
        <f aca="false">Данные_ввод!G333</f>
        <v>552</v>
      </c>
      <c r="I333" s="11" t="str">
        <f aca="false">IF(H333&lt;=Нормативы!$C$4,"норма","превышение")</f>
        <v>норма</v>
      </c>
      <c r="J333" s="11" t="str">
        <f aca="false">IF(AND(E333="норма",G333="норма",I333="норма"),"Проба соответствует","Проба не соответствует")</f>
        <v>Проба соответствует</v>
      </c>
    </row>
    <row r="334" customFormat="false" ht="15" hidden="false" customHeight="false" outlineLevel="0" collapsed="false">
      <c r="A334" s="9" t="str">
        <f aca="false">Данные_ввод!A334</f>
        <v>2026-04-30</v>
      </c>
      <c r="B334" s="9" t="str">
        <f aca="false">Данные_ввод!B334</f>
        <v>S-0333</v>
      </c>
      <c r="C334" s="9" t="str">
        <f aca="false">Данные_ввод!C334</f>
        <v>Точка-1 (скважина)</v>
      </c>
      <c r="D334" s="10" t="n">
        <f aca="false">(Данные_ввод!D334-Градуировка_Fe!$B$4)/Градуировка_Fe!$B$3</f>
        <v>0.182849635733907</v>
      </c>
      <c r="E334" s="11" t="str">
        <f aca="false">IF(D334&lt;=Нормативы!$C$2,"норма","превышение")</f>
        <v>норма</v>
      </c>
      <c r="F334" s="12" t="n">
        <f aca="false">Данные_ввод!E334</f>
        <v>7.54</v>
      </c>
      <c r="G334" s="11" t="str">
        <f aca="false">IF(AND(F334&gt;=Нормативы!$B$3,F334&lt;=Нормативы!$C$3),"норма","превышение")</f>
        <v>норма</v>
      </c>
      <c r="H334" s="13" t="n">
        <f aca="false">Данные_ввод!G334</f>
        <v>618</v>
      </c>
      <c r="I334" s="11" t="str">
        <f aca="false">IF(H334&lt;=Нормативы!$C$4,"норма","превышение")</f>
        <v>норма</v>
      </c>
      <c r="J334" s="11" t="str">
        <f aca="false">IF(AND(E334="норма",G334="норма",I334="норма"),"Проба соответствует","Проба не соответствует")</f>
        <v>Проба соответствует</v>
      </c>
    </row>
    <row r="335" customFormat="false" ht="15" hidden="false" customHeight="false" outlineLevel="0" collapsed="false">
      <c r="A335" s="9" t="str">
        <f aca="false">Данные_ввод!A335</f>
        <v>2026-04-30</v>
      </c>
      <c r="B335" s="9" t="str">
        <f aca="false">Данные_ввод!B335</f>
        <v>S-0334</v>
      </c>
      <c r="C335" s="9" t="str">
        <f aca="false">Данные_ввод!C335</f>
        <v>Точка-1 (скважина)</v>
      </c>
      <c r="D335" s="10" t="n">
        <f aca="false">(Данные_ввод!D335-Градуировка_Fe!$B$4)/Градуировка_Fe!$B$3</f>
        <v>0.0671205063895856</v>
      </c>
      <c r="E335" s="11" t="str">
        <f aca="false">IF(D335&lt;=Нормативы!$C$2,"норма","превышение")</f>
        <v>норма</v>
      </c>
      <c r="F335" s="12" t="n">
        <f aca="false">Данные_ввод!E335</f>
        <v>6.67</v>
      </c>
      <c r="G335" s="11" t="str">
        <f aca="false">IF(AND(F335&gt;=Нормативы!$B$3,F335&lt;=Нормативы!$C$3),"норма","превышение")</f>
        <v>норма</v>
      </c>
      <c r="H335" s="13" t="n">
        <f aca="false">Данные_ввод!G335</f>
        <v>731</v>
      </c>
      <c r="I335" s="11" t="str">
        <f aca="false">IF(H335&lt;=Нормативы!$C$4,"норма","превышение")</f>
        <v>норма</v>
      </c>
      <c r="J335" s="11" t="str">
        <f aca="false">IF(AND(E335="норма",G335="норма",I335="норма"),"Проба соответствует","Проба не соответствует")</f>
        <v>Проба соответствует</v>
      </c>
    </row>
    <row r="336" customFormat="false" ht="15" hidden="false" customHeight="false" outlineLevel="0" collapsed="false">
      <c r="A336" s="9" t="str">
        <f aca="false">Данные_ввод!A336</f>
        <v>2026-04-30</v>
      </c>
      <c r="B336" s="9" t="str">
        <f aca="false">Данные_ввод!B336</f>
        <v>S-0335</v>
      </c>
      <c r="C336" s="9" t="str">
        <f aca="false">Данные_ввод!C336</f>
        <v>Точка-1 (скважина)</v>
      </c>
      <c r="D336" s="10" t="n">
        <f aca="false">(Данные_ввод!D336-Градуировка_Fe!$B$4)/Градуировка_Fe!$B$3</f>
        <v>0.161351964648274</v>
      </c>
      <c r="E336" s="11" t="str">
        <f aca="false">IF(D336&lt;=Нормативы!$C$2,"норма","превышение")</f>
        <v>норма</v>
      </c>
      <c r="F336" s="12" t="n">
        <f aca="false">Данные_ввод!E336</f>
        <v>7.15</v>
      </c>
      <c r="G336" s="11" t="str">
        <f aca="false">IF(AND(F336&gt;=Нормативы!$B$3,F336&lt;=Нормативы!$C$3),"норма","превышение")</f>
        <v>норма</v>
      </c>
      <c r="H336" s="13" t="n">
        <f aca="false">Данные_ввод!G336</f>
        <v>927</v>
      </c>
      <c r="I336" s="11" t="str">
        <f aca="false">IF(H336&lt;=Нормативы!$C$4,"норма","превышение")</f>
        <v>норма</v>
      </c>
      <c r="J336" s="11" t="str">
        <f aca="false">IF(AND(E336="норма",G336="норма",I336="норма"),"Проба соответствует","Проба не соответствует")</f>
        <v>Проба соответствует</v>
      </c>
    </row>
    <row r="337" customFormat="false" ht="15" hidden="false" customHeight="false" outlineLevel="0" collapsed="false">
      <c r="A337" s="9" t="str">
        <f aca="false">Данные_ввод!A337</f>
        <v>2026-04-30</v>
      </c>
      <c r="B337" s="9" t="str">
        <f aca="false">Данные_ввод!B337</f>
        <v>S-0336</v>
      </c>
      <c r="C337" s="9" t="str">
        <f aca="false">Данные_ввод!C337</f>
        <v>Точка-1 (скважина)</v>
      </c>
      <c r="D337" s="10" t="n">
        <f aca="false">(Данные_ввод!D337-Градуировка_Fe!$B$4)/Градуировка_Fe!$B$3</f>
        <v>0.22477009435089</v>
      </c>
      <c r="E337" s="11" t="str">
        <f aca="false">IF(D337&lt;=Нормативы!$C$2,"норма","превышение")</f>
        <v>норма</v>
      </c>
      <c r="F337" s="12" t="n">
        <f aca="false">Данные_ввод!E337</f>
        <v>6.96</v>
      </c>
      <c r="G337" s="11" t="str">
        <f aca="false">IF(AND(F337&gt;=Нормативы!$B$3,F337&lt;=Нормативы!$C$3),"норма","превышение")</f>
        <v>норма</v>
      </c>
      <c r="H337" s="13" t="n">
        <f aca="false">Данные_ввод!G337</f>
        <v>797</v>
      </c>
      <c r="I337" s="11" t="str">
        <f aca="false">IF(H337&lt;=Нормативы!$C$4,"норма","превышение")</f>
        <v>норма</v>
      </c>
      <c r="J337" s="11" t="str">
        <f aca="false">IF(AND(E337="норма",G337="норма",I337="норма"),"Проба соответствует","Проба не соответствует")</f>
        <v>Проба соответствует</v>
      </c>
    </row>
    <row r="338" customFormat="false" ht="15" hidden="false" customHeight="false" outlineLevel="0" collapsed="false">
      <c r="A338" s="9" t="str">
        <f aca="false">Данные_ввод!A338</f>
        <v>2026-05-01</v>
      </c>
      <c r="B338" s="9" t="str">
        <f aca="false">Данные_ввод!B338</f>
        <v>S-0337</v>
      </c>
      <c r="C338" s="9" t="str">
        <f aca="false">Данные_ввод!C338</f>
        <v>Точка-3 (сброс)</v>
      </c>
      <c r="D338" s="10" t="n">
        <f aca="false">(Данные_ввод!D338-Градуировка_Fe!$B$4)/Градуировка_Fe!$B$3</f>
        <v>0.234563477845456</v>
      </c>
      <c r="E338" s="11" t="str">
        <f aca="false">IF(D338&lt;=Нормативы!$C$2,"норма","превышение")</f>
        <v>норма</v>
      </c>
      <c r="F338" s="12" t="n">
        <f aca="false">Данные_ввод!E338</f>
        <v>8.08</v>
      </c>
      <c r="G338" s="11" t="str">
        <f aca="false">IF(AND(F338&gt;=Нормативы!$B$3,F338&lt;=Нормативы!$C$3),"норма","превышение")</f>
        <v>норма</v>
      </c>
      <c r="H338" s="13" t="n">
        <f aca="false">Данные_ввод!G338</f>
        <v>664</v>
      </c>
      <c r="I338" s="11" t="str">
        <f aca="false">IF(H338&lt;=Нормативы!$C$4,"норма","превышение")</f>
        <v>норма</v>
      </c>
      <c r="J338" s="11" t="str">
        <f aca="false">IF(AND(E338="норма",G338="норма",I338="норма"),"Проба соответствует","Проба не соответствует")</f>
        <v>Проба соответствует</v>
      </c>
    </row>
    <row r="339" customFormat="false" ht="15" hidden="false" customHeight="false" outlineLevel="0" collapsed="false">
      <c r="A339" s="9" t="str">
        <f aca="false">Данные_ввод!A339</f>
        <v>2026-05-01</v>
      </c>
      <c r="B339" s="9" t="str">
        <f aca="false">Данные_ввод!B339</f>
        <v>S-0338</v>
      </c>
      <c r="C339" s="9" t="str">
        <f aca="false">Данные_ввод!C339</f>
        <v>Точка-1 (скважина)</v>
      </c>
      <c r="D339" s="10" t="n">
        <f aca="false">(Данные_ввод!D339-Градуировка_Fe!$B$4)/Градуировка_Fe!$B$3</f>
        <v>0.204108443807476</v>
      </c>
      <c r="E339" s="11" t="str">
        <f aca="false">IF(D339&lt;=Нормативы!$C$2,"норма","превышение")</f>
        <v>норма</v>
      </c>
      <c r="F339" s="12" t="n">
        <f aca="false">Данные_ввод!E339</f>
        <v>6.84</v>
      </c>
      <c r="G339" s="11" t="str">
        <f aca="false">IF(AND(F339&gt;=Нормативы!$B$3,F339&lt;=Нормативы!$C$3),"норма","превышение")</f>
        <v>норма</v>
      </c>
      <c r="H339" s="13" t="n">
        <f aca="false">Данные_ввод!G339</f>
        <v>800</v>
      </c>
      <c r="I339" s="11" t="str">
        <f aca="false">IF(H339&lt;=Нормативы!$C$4,"норма","превышение")</f>
        <v>норма</v>
      </c>
      <c r="J339" s="11" t="str">
        <f aca="false">IF(AND(E339="норма",G339="норма",I339="норма"),"Проба соответствует","Проба не соответствует")</f>
        <v>Проба соответствует</v>
      </c>
    </row>
    <row r="340" customFormat="false" ht="15" hidden="false" customHeight="false" outlineLevel="0" collapsed="false">
      <c r="A340" s="9" t="str">
        <f aca="false">Данные_ввод!A340</f>
        <v>2026-05-01</v>
      </c>
      <c r="B340" s="9" t="str">
        <f aca="false">Данные_ввод!B340</f>
        <v>S-0339</v>
      </c>
      <c r="C340" s="9" t="str">
        <f aca="false">Данные_ввод!C340</f>
        <v>Точка-3 (сброс)</v>
      </c>
      <c r="D340" s="10" t="n">
        <f aca="false">(Данные_ввод!D340-Градуировка_Fe!$B$4)/Градуировка_Fe!$B$3</f>
        <v>0.189060074047534</v>
      </c>
      <c r="E340" s="11" t="str">
        <f aca="false">IF(D340&lt;=Нормативы!$C$2,"норма","превышение")</f>
        <v>норма</v>
      </c>
      <c r="F340" s="12" t="n">
        <f aca="false">Данные_ввод!E340</f>
        <v>6.85</v>
      </c>
      <c r="G340" s="11" t="str">
        <f aca="false">IF(AND(F340&gt;=Нормативы!$B$3,F340&lt;=Нормативы!$C$3),"норма","превышение")</f>
        <v>норма</v>
      </c>
      <c r="H340" s="13" t="n">
        <f aca="false">Данные_ввод!G340</f>
        <v>719</v>
      </c>
      <c r="I340" s="11" t="str">
        <f aca="false">IF(H340&lt;=Нормативы!$C$4,"норма","превышение")</f>
        <v>норма</v>
      </c>
      <c r="J340" s="11" t="str">
        <f aca="false">IF(AND(E340="норма",G340="норма",I340="норма"),"Проба соответствует","Проба не соответствует")</f>
        <v>Проба соответствует</v>
      </c>
    </row>
    <row r="341" customFormat="false" ht="15" hidden="false" customHeight="false" outlineLevel="0" collapsed="false">
      <c r="A341" s="9" t="str">
        <f aca="false">Данные_ввод!A341</f>
        <v>2026-05-01</v>
      </c>
      <c r="B341" s="9" t="str">
        <f aca="false">Данные_ввод!B341</f>
        <v>S-0340</v>
      </c>
      <c r="C341" s="9" t="str">
        <f aca="false">Данные_ввод!C341</f>
        <v>Точка-2 (резервуар)</v>
      </c>
      <c r="D341" s="10" t="n">
        <f aca="false">(Данные_ввод!D341-Градуировка_Fe!$B$4)/Градуировка_Fe!$B$3</f>
        <v>0.169234444046339</v>
      </c>
      <c r="E341" s="11" t="str">
        <f aca="false">IF(D341&lt;=Нормативы!$C$2,"норма","превышение")</f>
        <v>норма</v>
      </c>
      <c r="F341" s="12" t="n">
        <f aca="false">Данные_ввод!E341</f>
        <v>6.44</v>
      </c>
      <c r="G341" s="11" t="str">
        <f aca="false">IF(AND(F341&gt;=Нормативы!$B$3,F341&lt;=Нормативы!$C$3),"норма","превышение")</f>
        <v>норма</v>
      </c>
      <c r="H341" s="13" t="n">
        <f aca="false">Данные_ввод!G341</f>
        <v>809</v>
      </c>
      <c r="I341" s="11" t="str">
        <f aca="false">IF(H341&lt;=Нормативы!$C$4,"норма","превышение")</f>
        <v>норма</v>
      </c>
      <c r="J341" s="11" t="str">
        <f aca="false">IF(AND(E341="норма",G341="норма",I341="норма"),"Проба соответствует","Проба не соответствует")</f>
        <v>Проба соответствует</v>
      </c>
    </row>
    <row r="342" customFormat="false" ht="15" hidden="false" customHeight="false" outlineLevel="0" collapsed="false">
      <c r="A342" s="9" t="str">
        <f aca="false">Данные_ввод!A342</f>
        <v>2026-05-04</v>
      </c>
      <c r="B342" s="9" t="str">
        <f aca="false">Данные_ввод!B342</f>
        <v>S-0341</v>
      </c>
      <c r="C342" s="9" t="str">
        <f aca="false">Данные_ввод!C342</f>
        <v>Точка-2 (резервуар)</v>
      </c>
      <c r="D342" s="10" t="n">
        <f aca="false">(Данные_ввод!D342-Градуировка_Fe!$B$4)/Градуировка_Fe!$B$3</f>
        <v>0.0647318762689598</v>
      </c>
      <c r="E342" s="11" t="str">
        <f aca="false">IF(D342&lt;=Нормативы!$C$2,"норма","превышение")</f>
        <v>норма</v>
      </c>
      <c r="F342" s="12" t="n">
        <f aca="false">Данные_ввод!E342</f>
        <v>7.77</v>
      </c>
      <c r="G342" s="11" t="str">
        <f aca="false">IF(AND(F342&gt;=Нормативы!$B$3,F342&lt;=Нормативы!$C$3),"норма","превышение")</f>
        <v>норма</v>
      </c>
      <c r="H342" s="13" t="n">
        <f aca="false">Данные_ввод!G342</f>
        <v>513</v>
      </c>
      <c r="I342" s="11" t="str">
        <f aca="false">IF(H342&lt;=Нормативы!$C$4,"норма","превышение")</f>
        <v>норма</v>
      </c>
      <c r="J342" s="11" t="str">
        <f aca="false">IF(AND(E342="норма",G342="норма",I342="норма"),"Проба соответствует","Проба не соответствует")</f>
        <v>Проба соответствует</v>
      </c>
    </row>
    <row r="343" customFormat="false" ht="15" hidden="false" customHeight="false" outlineLevel="0" collapsed="false">
      <c r="A343" s="9" t="str">
        <f aca="false">Данные_ввод!A343</f>
        <v>2026-05-04</v>
      </c>
      <c r="B343" s="9" t="str">
        <f aca="false">Данные_ввод!B343</f>
        <v>S-0342</v>
      </c>
      <c r="C343" s="9" t="str">
        <f aca="false">Данные_ввод!C343</f>
        <v>Точка-1 (скважина)</v>
      </c>
      <c r="D343" s="10" t="n">
        <f aca="false">(Данные_ввод!D343-Градуировка_Fe!$B$4)/Градуировка_Fe!$B$3</f>
        <v>0.0526692941597994</v>
      </c>
      <c r="E343" s="11" t="str">
        <f aca="false">IF(D343&lt;=Нормативы!$C$2,"норма","превышение")</f>
        <v>норма</v>
      </c>
      <c r="F343" s="12" t="n">
        <f aca="false">Данные_ввод!E343</f>
        <v>6.66</v>
      </c>
      <c r="G343" s="11" t="str">
        <f aca="false">IF(AND(F343&gt;=Нормативы!$B$3,F343&lt;=Нормативы!$C$3),"норма","превышение")</f>
        <v>норма</v>
      </c>
      <c r="H343" s="13" t="n">
        <f aca="false">Данные_ввод!G343</f>
        <v>623</v>
      </c>
      <c r="I343" s="11" t="str">
        <f aca="false">IF(H343&lt;=Нормативы!$C$4,"норма","превышение")</f>
        <v>норма</v>
      </c>
      <c r="J343" s="11" t="str">
        <f aca="false">IF(AND(E343="норма",G343="норма",I343="норма"),"Проба соответствует","Проба не соответствует")</f>
        <v>Проба соответствует</v>
      </c>
    </row>
    <row r="344" customFormat="false" ht="15" hidden="false" customHeight="false" outlineLevel="0" collapsed="false">
      <c r="A344" s="9" t="str">
        <f aca="false">Данные_ввод!A344</f>
        <v>2026-05-04</v>
      </c>
      <c r="B344" s="9" t="str">
        <f aca="false">Данные_ввод!B344</f>
        <v>S-0343</v>
      </c>
      <c r="C344" s="9" t="str">
        <f aca="false">Данные_ввод!C344</f>
        <v>Точка-2 (резервуар)</v>
      </c>
      <c r="D344" s="10" t="n">
        <f aca="false">(Данные_ввод!D344-Градуировка_Fe!$B$4)/Градуировка_Fe!$B$3</f>
        <v>0.248775827063179</v>
      </c>
      <c r="E344" s="11" t="str">
        <f aca="false">IF(D344&lt;=Нормативы!$C$2,"норма","превышение")</f>
        <v>норма</v>
      </c>
      <c r="F344" s="12" t="n">
        <f aca="false">Данные_ввод!E344</f>
        <v>6.18</v>
      </c>
      <c r="G344" s="11" t="str">
        <f aca="false">IF(AND(F344&gt;=Нормативы!$B$3,F344&lt;=Нормативы!$C$3),"норма","превышение")</f>
        <v>норма</v>
      </c>
      <c r="H344" s="13" t="n">
        <f aca="false">Данные_ввод!G344</f>
        <v>452</v>
      </c>
      <c r="I344" s="11" t="str">
        <f aca="false">IF(H344&lt;=Нормативы!$C$4,"норма","превышение")</f>
        <v>норма</v>
      </c>
      <c r="J344" s="11" t="str">
        <f aca="false">IF(AND(E344="норма",G344="норма",I344="норма"),"Проба соответствует","Проба не соответствует")</f>
        <v>Проба соответствует</v>
      </c>
    </row>
    <row r="345" customFormat="false" ht="15" hidden="false" customHeight="false" outlineLevel="0" collapsed="false">
      <c r="A345" s="9" t="str">
        <f aca="false">Данные_ввод!A345</f>
        <v>2026-05-04</v>
      </c>
      <c r="B345" s="9" t="str">
        <f aca="false">Данные_ввод!B345</f>
        <v>S-0344</v>
      </c>
      <c r="C345" s="9" t="str">
        <f aca="false">Данные_ввод!C345</f>
        <v>Точка-2 (резервуар)</v>
      </c>
      <c r="D345" s="10" t="n">
        <f aca="false">(Данные_ввод!D345-Градуировка_Fe!$B$4)/Градуировка_Fe!$B$3</f>
        <v>0.212946375253792</v>
      </c>
      <c r="E345" s="11" t="str">
        <f aca="false">IF(D345&lt;=Нормативы!$C$2,"норма","превышение")</f>
        <v>норма</v>
      </c>
      <c r="F345" s="12" t="n">
        <f aca="false">Данные_ввод!E345</f>
        <v>7.26</v>
      </c>
      <c r="G345" s="11" t="str">
        <f aca="false">IF(AND(F345&gt;=Нормативы!$B$3,F345&lt;=Нормативы!$C$3),"норма","превышение")</f>
        <v>норма</v>
      </c>
      <c r="H345" s="13" t="n">
        <f aca="false">Данные_ввод!G345</f>
        <v>873</v>
      </c>
      <c r="I345" s="11" t="str">
        <f aca="false">IF(H345&lt;=Нормативы!$C$4,"норма","превышение")</f>
        <v>норма</v>
      </c>
      <c r="J345" s="11" t="str">
        <f aca="false">IF(AND(E345="норма",G345="норма",I345="норма"),"Проба соответствует","Проба не соответствует")</f>
        <v>Проба соответствует</v>
      </c>
    </row>
    <row r="346" customFormat="false" ht="15" hidden="false" customHeight="false" outlineLevel="0" collapsed="false">
      <c r="A346" s="9" t="str">
        <f aca="false">Данные_ввод!A346</f>
        <v>2026-05-05</v>
      </c>
      <c r="B346" s="9" t="str">
        <f aca="false">Данные_ввод!B346</f>
        <v>S-0345</v>
      </c>
      <c r="C346" s="9" t="str">
        <f aca="false">Данные_ввод!C346</f>
        <v>Точка-2 (резервуар)</v>
      </c>
      <c r="D346" s="10" t="n">
        <f aca="false">(Данные_ввод!D346-Градуировка_Fe!$B$4)/Градуировка_Fe!$B$3</f>
        <v>0.242565388749552</v>
      </c>
      <c r="E346" s="11" t="str">
        <f aca="false">IF(D346&lt;=Нормативы!$C$2,"норма","превышение")</f>
        <v>норма</v>
      </c>
      <c r="F346" s="12" t="n">
        <f aca="false">Данные_ввод!E346</f>
        <v>7.04</v>
      </c>
      <c r="G346" s="11" t="str">
        <f aca="false">IF(AND(F346&gt;=Нормативы!$B$3,F346&lt;=Нормативы!$C$3),"норма","превышение")</f>
        <v>норма</v>
      </c>
      <c r="H346" s="13" t="n">
        <f aca="false">Данные_ввод!G346</f>
        <v>920</v>
      </c>
      <c r="I346" s="11" t="str">
        <f aca="false">IF(H346&lt;=Нормативы!$C$4,"норма","превышение")</f>
        <v>норма</v>
      </c>
      <c r="J346" s="11" t="str">
        <f aca="false">IF(AND(E346="норма",G346="норма",I346="норма"),"Проба соответствует","Проба не соответствует")</f>
        <v>Проба соответствует</v>
      </c>
    </row>
    <row r="347" customFormat="false" ht="15" hidden="false" customHeight="false" outlineLevel="0" collapsed="false">
      <c r="A347" s="9" t="str">
        <f aca="false">Данные_ввод!A347</f>
        <v>2026-05-05</v>
      </c>
      <c r="B347" s="9" t="str">
        <f aca="false">Данные_ввод!B347</f>
        <v>S-0346</v>
      </c>
      <c r="C347" s="9" t="str">
        <f aca="false">Данные_ввод!C347</f>
        <v>Точка-1 (скважина)</v>
      </c>
      <c r="D347" s="10" t="n">
        <f aca="false">(Данные_ввод!D347-Градуировка_Fe!$B$4)/Градуировка_Fe!$B$3</f>
        <v>0.0899319240415622</v>
      </c>
      <c r="E347" s="11" t="str">
        <f aca="false">IF(D347&lt;=Нормативы!$C$2,"норма","превышение")</f>
        <v>норма</v>
      </c>
      <c r="F347" s="12" t="n">
        <f aca="false">Данные_ввод!E347</f>
        <v>7.75</v>
      </c>
      <c r="G347" s="11" t="str">
        <f aca="false">IF(AND(F347&gt;=Нормативы!$B$3,F347&lt;=Нормативы!$C$3),"норма","превышение")</f>
        <v>норма</v>
      </c>
      <c r="H347" s="13" t="n">
        <f aca="false">Данные_ввод!G347</f>
        <v>918</v>
      </c>
      <c r="I347" s="11" t="str">
        <f aca="false">IF(H347&lt;=Нормативы!$C$4,"норма","превышение")</f>
        <v>норма</v>
      </c>
      <c r="J347" s="11" t="str">
        <f aca="false">IF(AND(E347="норма",G347="норма",I347="норма"),"Проба соответствует","Проба не соответствует")</f>
        <v>Проба соответствует</v>
      </c>
    </row>
    <row r="348" customFormat="false" ht="15" hidden="false" customHeight="false" outlineLevel="0" collapsed="false">
      <c r="A348" s="9" t="str">
        <f aca="false">Данные_ввод!A348</f>
        <v>2026-05-05</v>
      </c>
      <c r="B348" s="9" t="str">
        <f aca="false">Данные_ввод!B348</f>
        <v>S-0347</v>
      </c>
      <c r="C348" s="9" t="str">
        <f aca="false">Данные_ввод!C348</f>
        <v>Точка-1 (скважина)</v>
      </c>
      <c r="D348" s="10" t="n">
        <f aca="false">(Данные_ввод!D348-Градуировка_Fe!$B$4)/Градуировка_Fe!$B$3</f>
        <v>0.13507703332139</v>
      </c>
      <c r="E348" s="11" t="str">
        <f aca="false">IF(D348&lt;=Нормативы!$C$2,"норма","превышение")</f>
        <v>норма</v>
      </c>
      <c r="F348" s="12" t="n">
        <f aca="false">Данные_ввод!E348</f>
        <v>7.07</v>
      </c>
      <c r="G348" s="11" t="str">
        <f aca="false">IF(AND(F348&gt;=Нормативы!$B$3,F348&lt;=Нормативы!$C$3),"норма","превышение")</f>
        <v>норма</v>
      </c>
      <c r="H348" s="13" t="n">
        <f aca="false">Данные_ввод!G348</f>
        <v>534</v>
      </c>
      <c r="I348" s="11" t="str">
        <f aca="false">IF(H348&lt;=Нормативы!$C$4,"норма","превышение")</f>
        <v>норма</v>
      </c>
      <c r="J348" s="11" t="str">
        <f aca="false">IF(AND(E348="норма",G348="норма",I348="норма"),"Проба соответствует","Проба не соответствует")</f>
        <v>Проба соответствует</v>
      </c>
    </row>
    <row r="349" customFormat="false" ht="15" hidden="false" customHeight="false" outlineLevel="0" collapsed="false">
      <c r="A349" s="9" t="str">
        <f aca="false">Данные_ввод!A349</f>
        <v>2026-05-05</v>
      </c>
      <c r="B349" s="9" t="str">
        <f aca="false">Данные_ввод!B349</f>
        <v>S-0348</v>
      </c>
      <c r="C349" s="9" t="str">
        <f aca="false">Данные_ввод!C349</f>
        <v>Точка-2 (резервуар)</v>
      </c>
      <c r="D349" s="10" t="n">
        <f aca="false">(Данные_ввод!D349-Градуировка_Fe!$B$4)/Градуировка_Fe!$B$3</f>
        <v>0.0404872805446077</v>
      </c>
      <c r="E349" s="11" t="str">
        <f aca="false">IF(D349&lt;=Нормативы!$C$2,"норма","превышение")</f>
        <v>норма</v>
      </c>
      <c r="F349" s="12" t="n">
        <f aca="false">Данные_ввод!E349</f>
        <v>6.63</v>
      </c>
      <c r="G349" s="11" t="str">
        <f aca="false">IF(AND(F349&gt;=Нормативы!$B$3,F349&lt;=Нормативы!$C$3),"норма","превышение")</f>
        <v>норма</v>
      </c>
      <c r="H349" s="13" t="n">
        <f aca="false">Данные_ввод!G349</f>
        <v>951</v>
      </c>
      <c r="I349" s="11" t="str">
        <f aca="false">IF(H349&lt;=Нормативы!$C$4,"норма","превышение")</f>
        <v>норма</v>
      </c>
      <c r="J349" s="11" t="str">
        <f aca="false">IF(AND(E349="норма",G349="норма",I349="норма"),"Проба соответствует","Проба не соответствует")</f>
        <v>Проба соответствует</v>
      </c>
    </row>
    <row r="350" customFormat="false" ht="15" hidden="false" customHeight="false" outlineLevel="0" collapsed="false">
      <c r="A350" s="9" t="str">
        <f aca="false">Данные_ввод!A350</f>
        <v>2026-05-06</v>
      </c>
      <c r="B350" s="9" t="str">
        <f aca="false">Данные_ввод!B350</f>
        <v>S-0349</v>
      </c>
      <c r="C350" s="9" t="str">
        <f aca="false">Данные_ввод!C350</f>
        <v>Точка-3 (сброс)</v>
      </c>
      <c r="D350" s="10" t="n">
        <f aca="false">(Данные_ввод!D350-Градуировка_Fe!$B$4)/Градуировка_Fe!$B$3</f>
        <v>0.333452764839365</v>
      </c>
      <c r="E350" s="11" t="str">
        <f aca="false">IF(D350&lt;=Нормативы!$C$2,"норма","превышение")</f>
        <v>превышение</v>
      </c>
      <c r="F350" s="12" t="n">
        <f aca="false">Данные_ввод!E350</f>
        <v>7.24</v>
      </c>
      <c r="G350" s="11" t="str">
        <f aca="false">IF(AND(F350&gt;=Нормативы!$B$3,F350&lt;=Нормативы!$C$3),"норма","превышение")</f>
        <v>норма</v>
      </c>
      <c r="H350" s="13" t="n">
        <f aca="false">Данные_ввод!G350</f>
        <v>522</v>
      </c>
      <c r="I350" s="11" t="str">
        <f aca="false">IF(H350&lt;=Нормативы!$C$4,"норма","превышение")</f>
        <v>норма</v>
      </c>
      <c r="J350" s="11" t="str">
        <f aca="false">IF(AND(E350="норма",G350="норма",I350="норма"),"Проба соответствует","Проба не соответствует")</f>
        <v>Проба не соответствует</v>
      </c>
    </row>
    <row r="351" customFormat="false" ht="15" hidden="false" customHeight="false" outlineLevel="0" collapsed="false">
      <c r="A351" s="9" t="str">
        <f aca="false">Данные_ввод!A351</f>
        <v>2026-05-06</v>
      </c>
      <c r="B351" s="9" t="str">
        <f aca="false">Данные_ввод!B351</f>
        <v>S-0350</v>
      </c>
      <c r="C351" s="9" t="str">
        <f aca="false">Данные_ввод!C351</f>
        <v>Точка-1 (скважина)</v>
      </c>
      <c r="D351" s="10" t="n">
        <f aca="false">(Данные_ввод!D351-Градуировка_Fe!$B$4)/Градуировка_Fe!$B$3</f>
        <v>0.0557745133166129</v>
      </c>
      <c r="E351" s="11" t="str">
        <f aca="false">IF(D351&lt;=Нормативы!$C$2,"норма","превышение")</f>
        <v>норма</v>
      </c>
      <c r="F351" s="12" t="n">
        <f aca="false">Данные_ввод!E351</f>
        <v>8.05</v>
      </c>
      <c r="G351" s="11" t="str">
        <f aca="false">IF(AND(F351&gt;=Нормативы!$B$3,F351&lt;=Нормативы!$C$3),"норма","превышение")</f>
        <v>норма</v>
      </c>
      <c r="H351" s="13" t="n">
        <f aca="false">Данные_ввод!G351</f>
        <v>449</v>
      </c>
      <c r="I351" s="11" t="str">
        <f aca="false">IF(H351&lt;=Нормативы!$C$4,"норма","превышение")</f>
        <v>норма</v>
      </c>
      <c r="J351" s="11" t="str">
        <f aca="false">IF(AND(E351="норма",G351="норма",I351="норма"),"Проба соответствует","Проба не соответствует")</f>
        <v>Проба соответствует</v>
      </c>
    </row>
    <row r="352" customFormat="false" ht="15" hidden="false" customHeight="false" outlineLevel="0" collapsed="false">
      <c r="A352" s="9" t="str">
        <f aca="false">Данные_ввод!A352</f>
        <v>2026-05-06</v>
      </c>
      <c r="B352" s="9" t="str">
        <f aca="false">Данные_ввод!B352</f>
        <v>S-0351</v>
      </c>
      <c r="C352" s="9" t="str">
        <f aca="false">Данные_ввод!C352</f>
        <v>Точка-3 (сброс)</v>
      </c>
      <c r="D352" s="10" t="n">
        <f aca="false">(Данные_ввод!D352-Градуировка_Fe!$B$4)/Градуировка_Fe!$B$3</f>
        <v>0.336557983996178</v>
      </c>
      <c r="E352" s="11" t="str">
        <f aca="false">IF(D352&lt;=Нормативы!$C$2,"норма","превышение")</f>
        <v>превышение</v>
      </c>
      <c r="F352" s="12" t="n">
        <f aca="false">Данные_ввод!E352</f>
        <v>7.52</v>
      </c>
      <c r="G352" s="11" t="str">
        <f aca="false">IF(AND(F352&gt;=Нормативы!$B$3,F352&lt;=Нормативы!$C$3),"норма","превышение")</f>
        <v>норма</v>
      </c>
      <c r="H352" s="13" t="n">
        <f aca="false">Данные_ввод!G352</f>
        <v>551</v>
      </c>
      <c r="I352" s="11" t="str">
        <f aca="false">IF(H352&lt;=Нормативы!$C$4,"норма","превышение")</f>
        <v>норма</v>
      </c>
      <c r="J352" s="11" t="str">
        <f aca="false">IF(AND(E352="норма",G352="норма",I352="норма"),"Проба соответствует","Проба не соответствует")</f>
        <v>Проба не соответствует</v>
      </c>
    </row>
    <row r="353" customFormat="false" ht="15" hidden="false" customHeight="false" outlineLevel="0" collapsed="false">
      <c r="A353" s="9" t="str">
        <f aca="false">Данные_ввод!A353</f>
        <v>2026-05-06</v>
      </c>
      <c r="B353" s="9" t="str">
        <f aca="false">Данные_ввод!B353</f>
        <v>S-0352</v>
      </c>
      <c r="C353" s="9" t="str">
        <f aca="false">Данные_ввод!C353</f>
        <v>Точка-1 (скважина)</v>
      </c>
      <c r="D353" s="10" t="n">
        <f aca="false">(Данные_ввод!D353-Градуировка_Fe!$B$4)/Градуировка_Fe!$B$3</f>
        <v>0.0919622596440941</v>
      </c>
      <c r="E353" s="11" t="str">
        <f aca="false">IF(D353&lt;=Нормативы!$C$2,"норма","превышение")</f>
        <v>норма</v>
      </c>
      <c r="F353" s="12" t="n">
        <f aca="false">Данные_ввод!E353</f>
        <v>6.38</v>
      </c>
      <c r="G353" s="11" t="str">
        <f aca="false">IF(AND(F353&gt;=Нормативы!$B$3,F353&lt;=Нормативы!$C$3),"норма","превышение")</f>
        <v>норма</v>
      </c>
      <c r="H353" s="13" t="n">
        <f aca="false">Данные_ввод!G353</f>
        <v>589</v>
      </c>
      <c r="I353" s="11" t="str">
        <f aca="false">IF(H353&lt;=Нормативы!$C$4,"норма","превышение")</f>
        <v>норма</v>
      </c>
      <c r="J353" s="11" t="str">
        <f aca="false">IF(AND(E353="норма",G353="норма",I353="норма"),"Проба соответствует","Проба не соответствует")</f>
        <v>Проба соответствует</v>
      </c>
    </row>
    <row r="354" customFormat="false" ht="15" hidden="false" customHeight="false" outlineLevel="0" collapsed="false">
      <c r="A354" s="9" t="str">
        <f aca="false">Данные_ввод!A354</f>
        <v>2026-05-07</v>
      </c>
      <c r="B354" s="9" t="str">
        <f aca="false">Данные_ввод!B354</f>
        <v>S-0353</v>
      </c>
      <c r="C354" s="9" t="str">
        <f aca="false">Данные_ввод!C354</f>
        <v>Точка-1 (скважина)</v>
      </c>
      <c r="D354" s="10" t="n">
        <f aca="false">(Данные_ввод!D354-Градуировка_Fe!$B$4)/Градуировка_Fe!$B$3</f>
        <v>0.0133763286755046</v>
      </c>
      <c r="E354" s="11" t="str">
        <f aca="false">IF(D354&lt;=Нормативы!$C$2,"норма","превышение")</f>
        <v>норма</v>
      </c>
      <c r="F354" s="12" t="n">
        <f aca="false">Данные_ввод!E354</f>
        <v>7.58</v>
      </c>
      <c r="G354" s="11" t="str">
        <f aca="false">IF(AND(F354&gt;=Нормативы!$B$3,F354&lt;=Нормативы!$C$3),"норма","превышение")</f>
        <v>норма</v>
      </c>
      <c r="H354" s="13" t="n">
        <f aca="false">Данные_ввод!G354</f>
        <v>677</v>
      </c>
      <c r="I354" s="11" t="str">
        <f aca="false">IF(H354&lt;=Нормативы!$C$4,"норма","превышение")</f>
        <v>норма</v>
      </c>
      <c r="J354" s="11" t="str">
        <f aca="false">IF(AND(E354="норма",G354="норма",I354="норма"),"Проба соответствует","Проба не соответствует")</f>
        <v>Проба соответствует</v>
      </c>
    </row>
    <row r="355" customFormat="false" ht="15" hidden="false" customHeight="false" outlineLevel="0" collapsed="false">
      <c r="A355" s="9" t="str">
        <f aca="false">Данные_ввод!A355</f>
        <v>2026-05-07</v>
      </c>
      <c r="B355" s="9" t="str">
        <f aca="false">Данные_ввод!B355</f>
        <v>S-0354</v>
      </c>
      <c r="C355" s="9" t="str">
        <f aca="false">Данные_ввод!C355</f>
        <v>Точка-1 (скважина)</v>
      </c>
      <c r="D355" s="10" t="n">
        <f aca="false">(Данные_ввод!D355-Градуировка_Fe!$B$4)/Градуировка_Fe!$B$3</f>
        <v>-0.00752418487997134</v>
      </c>
      <c r="E355" s="11" t="str">
        <f aca="false">IF(D355&lt;=Нормативы!$C$2,"норма","превышение")</f>
        <v>норма</v>
      </c>
      <c r="F355" s="12" t="n">
        <f aca="false">Данные_ввод!E355</f>
        <v>7.46</v>
      </c>
      <c r="G355" s="11" t="str">
        <f aca="false">IF(AND(F355&gt;=Нормативы!$B$3,F355&lt;=Нормативы!$C$3),"норма","превышение")</f>
        <v>норма</v>
      </c>
      <c r="H355" s="13" t="n">
        <f aca="false">Данные_ввод!G355</f>
        <v>556</v>
      </c>
      <c r="I355" s="11" t="str">
        <f aca="false">IF(H355&lt;=Нормативы!$C$4,"норма","превышение")</f>
        <v>норма</v>
      </c>
      <c r="J355" s="11" t="str">
        <f aca="false">IF(AND(E355="норма",G355="норма",I355="норма"),"Проба соответствует","Проба не соответствует")</f>
        <v>Проба соответствует</v>
      </c>
    </row>
    <row r="356" customFormat="false" ht="15" hidden="false" customHeight="false" outlineLevel="0" collapsed="false">
      <c r="A356" s="9" t="str">
        <f aca="false">Данные_ввод!A356</f>
        <v>2026-05-07</v>
      </c>
      <c r="B356" s="9" t="str">
        <f aca="false">Данные_ввод!B356</f>
        <v>S-0355</v>
      </c>
      <c r="C356" s="9" t="str">
        <f aca="false">Данные_ввод!C356</f>
        <v>Точка-2 (резервуар)</v>
      </c>
      <c r="D356" s="10" t="n">
        <f aca="false">(Данные_ввод!D356-Градуировка_Fe!$B$4)/Градуировка_Fe!$B$3</f>
        <v>0.125522512838887</v>
      </c>
      <c r="E356" s="11" t="str">
        <f aca="false">IF(D356&lt;=Нормативы!$C$2,"норма","превышение")</f>
        <v>норма</v>
      </c>
      <c r="F356" s="12" t="n">
        <f aca="false">Данные_ввод!E356</f>
        <v>6.86</v>
      </c>
      <c r="G356" s="11" t="str">
        <f aca="false">IF(AND(F356&gt;=Нормативы!$B$3,F356&lt;=Нормативы!$C$3),"норма","превышение")</f>
        <v>норма</v>
      </c>
      <c r="H356" s="13" t="n">
        <f aca="false">Данные_ввод!G356</f>
        <v>799</v>
      </c>
      <c r="I356" s="11" t="str">
        <f aca="false">IF(H356&lt;=Нормативы!$C$4,"норма","превышение")</f>
        <v>норма</v>
      </c>
      <c r="J356" s="11" t="str">
        <f aca="false">IF(AND(E356="норма",G356="норма",I356="норма"),"Проба соответствует","Проба не соответствует")</f>
        <v>Проба соответствует</v>
      </c>
    </row>
    <row r="357" customFormat="false" ht="15" hidden="false" customHeight="false" outlineLevel="0" collapsed="false">
      <c r="A357" s="9" t="str">
        <f aca="false">Данные_ввод!A357</f>
        <v>2026-05-07</v>
      </c>
      <c r="B357" s="9" t="str">
        <f aca="false">Данные_ввод!B357</f>
        <v>S-0356</v>
      </c>
      <c r="C357" s="9" t="str">
        <f aca="false">Данные_ввод!C357</f>
        <v>Точка-1 (скважина)</v>
      </c>
      <c r="D357" s="10" t="n">
        <f aca="false">(Данные_ввод!D357-Градуировка_Fe!$B$4)/Градуировка_Fe!$B$3</f>
        <v>0.25438910784665</v>
      </c>
      <c r="E357" s="11" t="str">
        <f aca="false">IF(D357&lt;=Нормативы!$C$2,"норма","превышение")</f>
        <v>норма</v>
      </c>
      <c r="F357" s="12" t="n">
        <f aca="false">Данные_ввод!E357</f>
        <v>6.99</v>
      </c>
      <c r="G357" s="11" t="str">
        <f aca="false">IF(AND(F357&gt;=Нормативы!$B$3,F357&lt;=Нормативы!$C$3),"норма","превышение")</f>
        <v>норма</v>
      </c>
      <c r="H357" s="13" t="n">
        <f aca="false">Данные_ввод!G357</f>
        <v>150</v>
      </c>
      <c r="I357" s="11" t="str">
        <f aca="false">IF(H357&lt;=Нормативы!$C$4,"норма","превышение")</f>
        <v>норма</v>
      </c>
      <c r="J357" s="11" t="str">
        <f aca="false">IF(AND(E357="норма",G357="норма",I357="норма"),"Проба соответствует","Проба не соответствует")</f>
        <v>Проба соответствует</v>
      </c>
    </row>
    <row r="358" customFormat="false" ht="15" hidden="false" customHeight="false" outlineLevel="0" collapsed="false">
      <c r="A358" s="9" t="str">
        <f aca="false">Данные_ввод!A358</f>
        <v>2026-05-08</v>
      </c>
      <c r="B358" s="9" t="str">
        <f aca="false">Данные_ввод!B358</f>
        <v>S-0357</v>
      </c>
      <c r="C358" s="9" t="str">
        <f aca="false">Данные_ввод!C358</f>
        <v>Точка-1 (скважина)</v>
      </c>
      <c r="D358" s="10" t="n">
        <f aca="false">(Данные_ввод!D358-Градуировка_Fe!$B$4)/Градуировка_Fe!$B$3</f>
        <v>0.197300847963693</v>
      </c>
      <c r="E358" s="11" t="str">
        <f aca="false">IF(D358&lt;=Нормативы!$C$2,"норма","превышение")</f>
        <v>норма</v>
      </c>
      <c r="F358" s="12" t="n">
        <f aca="false">Данные_ввод!E358</f>
        <v>7.35</v>
      </c>
      <c r="G358" s="11" t="str">
        <f aca="false">IF(AND(F358&gt;=Нормативы!$B$3,F358&lt;=Нормативы!$C$3),"норма","превышение")</f>
        <v>норма</v>
      </c>
      <c r="H358" s="13" t="n">
        <f aca="false">Данные_ввод!G358</f>
        <v>669</v>
      </c>
      <c r="I358" s="11" t="str">
        <f aca="false">IF(H358&lt;=Нормативы!$C$4,"норма","превышение")</f>
        <v>норма</v>
      </c>
      <c r="J358" s="11" t="str">
        <f aca="false">IF(AND(E358="норма",G358="норма",I358="норма"),"Проба соответствует","Проба не соответствует")</f>
        <v>Проба соответствует</v>
      </c>
    </row>
    <row r="359" customFormat="false" ht="15" hidden="false" customHeight="false" outlineLevel="0" collapsed="false">
      <c r="A359" s="9" t="str">
        <f aca="false">Данные_ввод!A359</f>
        <v>2026-05-08</v>
      </c>
      <c r="B359" s="9" t="str">
        <f aca="false">Данные_ввод!B359</f>
        <v>S-0358</v>
      </c>
      <c r="C359" s="9" t="str">
        <f aca="false">Данные_ввод!C359</f>
        <v>Точка-2 (резервуар)</v>
      </c>
      <c r="D359" s="10" t="n">
        <f aca="false">(Данные_ввод!D359-Градуировка_Fe!$B$4)/Градуировка_Fe!$B$3</f>
        <v>0.0735698077152753</v>
      </c>
      <c r="E359" s="11" t="str">
        <f aca="false">IF(D359&lt;=Нормативы!$C$2,"норма","превышение")</f>
        <v>норма</v>
      </c>
      <c r="F359" s="12" t="n">
        <f aca="false">Данные_ввод!E359</f>
        <v>7.53</v>
      </c>
      <c r="G359" s="11" t="str">
        <f aca="false">IF(AND(F359&gt;=Нормативы!$B$3,F359&lt;=Нормативы!$C$3),"норма","превышение")</f>
        <v>норма</v>
      </c>
      <c r="H359" s="13" t="n">
        <f aca="false">Данные_ввод!G359</f>
        <v>740</v>
      </c>
      <c r="I359" s="11" t="str">
        <f aca="false">IF(H359&lt;=Нормативы!$C$4,"норма","превышение")</f>
        <v>норма</v>
      </c>
      <c r="J359" s="11" t="str">
        <f aca="false">IF(AND(E359="норма",G359="норма",I359="норма"),"Проба соответствует","Проба не соответствует")</f>
        <v>Проба соответствует</v>
      </c>
    </row>
    <row r="360" customFormat="false" ht="15" hidden="false" customHeight="false" outlineLevel="0" collapsed="false">
      <c r="A360" s="9" t="str">
        <f aca="false">Данные_ввод!A360</f>
        <v>2026-05-08</v>
      </c>
      <c r="B360" s="9" t="str">
        <f aca="false">Данные_ввод!B360</f>
        <v>S-0359</v>
      </c>
      <c r="C360" s="9" t="str">
        <f aca="false">Данные_ввод!C360</f>
        <v>Точка-1 (скважина)</v>
      </c>
      <c r="D360" s="10" t="n">
        <f aca="false">(Данные_ввод!D360-Градуировка_Fe!$B$4)/Градуировка_Fe!$B$3</f>
        <v>0.190851546638003</v>
      </c>
      <c r="E360" s="11" t="str">
        <f aca="false">IF(D360&lt;=Нормативы!$C$2,"норма","превышение")</f>
        <v>норма</v>
      </c>
      <c r="F360" s="12" t="n">
        <f aca="false">Данные_ввод!E360</f>
        <v>8.21</v>
      </c>
      <c r="G360" s="11" t="str">
        <f aca="false">IF(AND(F360&gt;=Нормативы!$B$3,F360&lt;=Нормативы!$C$3),"норма","превышение")</f>
        <v>норма</v>
      </c>
      <c r="H360" s="13" t="n">
        <f aca="false">Данные_ввод!G360</f>
        <v>850</v>
      </c>
      <c r="I360" s="11" t="str">
        <f aca="false">IF(H360&lt;=Нормативы!$C$4,"норма","превышение")</f>
        <v>норма</v>
      </c>
      <c r="J360" s="11" t="str">
        <f aca="false">IF(AND(E360="норма",G360="норма",I360="норма"),"Проба соответствует","Проба не соответствует")</f>
        <v>Проба соответствует</v>
      </c>
    </row>
    <row r="361" customFormat="false" ht="15" hidden="false" customHeight="false" outlineLevel="0" collapsed="false">
      <c r="A361" s="9" t="str">
        <f aca="false">Данные_ввод!A361</f>
        <v>2026-05-08</v>
      </c>
      <c r="B361" s="9" t="str">
        <f aca="false">Данные_ввод!B361</f>
        <v>S-0360</v>
      </c>
      <c r="C361" s="9" t="str">
        <f aca="false">Данные_ввод!C361</f>
        <v>Точка-1 (скважина)</v>
      </c>
      <c r="D361" s="10" t="n">
        <f aca="false">(Данные_ввод!D361-Градуировка_Fe!$B$4)/Градуировка_Fe!$B$3</f>
        <v>0.329272662128269</v>
      </c>
      <c r="E361" s="11" t="str">
        <f aca="false">IF(D361&lt;=Нормативы!$C$2,"норма","превышение")</f>
        <v>превышение</v>
      </c>
      <c r="F361" s="12" t="n">
        <f aca="false">Данные_ввод!E361</f>
        <v>7.48</v>
      </c>
      <c r="G361" s="11" t="str">
        <f aca="false">IF(AND(F361&gt;=Нормативы!$B$3,F361&lt;=Нормативы!$C$3),"норма","превышение")</f>
        <v>норма</v>
      </c>
      <c r="H361" s="13" t="n">
        <f aca="false">Данные_ввод!G361</f>
        <v>353</v>
      </c>
      <c r="I361" s="11" t="str">
        <f aca="false">IF(H361&lt;=Нормативы!$C$4,"норма","превышение")</f>
        <v>норма</v>
      </c>
      <c r="J361" s="11" t="str">
        <f aca="false">IF(AND(E361="норма",G361="норма",I361="норма"),"Проба соответствует","Проба не соответствует")</f>
        <v>Проба не соответствует</v>
      </c>
    </row>
    <row r="362" customFormat="false" ht="15" hidden="false" customHeight="false" outlineLevel="0" collapsed="false">
      <c r="A362" s="9" t="str">
        <f aca="false">Данные_ввод!A362</f>
        <v>2026-05-11</v>
      </c>
      <c r="B362" s="9" t="str">
        <f aca="false">Данные_ввод!B362</f>
        <v>S-0361</v>
      </c>
      <c r="C362" s="9" t="str">
        <f aca="false">Данные_ввод!C362</f>
        <v>Точка-2 (резервуар)</v>
      </c>
      <c r="D362" s="10" t="n">
        <f aca="false">(Данные_ввод!D362-Градуировка_Fe!$B$4)/Градуировка_Fe!$B$3</f>
        <v>0.179027827540905</v>
      </c>
      <c r="E362" s="11" t="str">
        <f aca="false">IF(D362&lt;=Нормативы!$C$2,"норма","превышение")</f>
        <v>норма</v>
      </c>
      <c r="F362" s="12" t="n">
        <f aca="false">Данные_ввод!E362</f>
        <v>7.88</v>
      </c>
      <c r="G362" s="11" t="str">
        <f aca="false">IF(AND(F362&gt;=Нормативы!$B$3,F362&lt;=Нормативы!$C$3),"норма","превышение")</f>
        <v>норма</v>
      </c>
      <c r="H362" s="13" t="n">
        <f aca="false">Данные_ввод!G362</f>
        <v>739</v>
      </c>
      <c r="I362" s="11" t="str">
        <f aca="false">IF(H362&lt;=Нормативы!$C$4,"норма","превышение")</f>
        <v>норма</v>
      </c>
      <c r="J362" s="11" t="str">
        <f aca="false">IF(AND(E362="норма",G362="норма",I362="норма"),"Проба соответствует","Проба не соответствует")</f>
        <v>Проба соответствует</v>
      </c>
    </row>
    <row r="363" customFormat="false" ht="15" hidden="false" customHeight="false" outlineLevel="0" collapsed="false">
      <c r="A363" s="9" t="str">
        <f aca="false">Данные_ввод!A363</f>
        <v>2026-05-11</v>
      </c>
      <c r="B363" s="9" t="str">
        <f aca="false">Данные_ввод!B363</f>
        <v>S-0362</v>
      </c>
      <c r="C363" s="9" t="str">
        <f aca="false">Данные_ввод!C363</f>
        <v>Точка-1 (скважина)</v>
      </c>
      <c r="D363" s="10" t="n">
        <f aca="false">(Данные_ввод!D363-Градуировка_Fe!$B$4)/Градуировка_Fe!$B$3</f>
        <v>0.0647318762689598</v>
      </c>
      <c r="E363" s="11" t="str">
        <f aca="false">IF(D363&lt;=Нормативы!$C$2,"норма","превышение")</f>
        <v>норма</v>
      </c>
      <c r="F363" s="12" t="n">
        <f aca="false">Данные_ввод!E363</f>
        <v>6.48</v>
      </c>
      <c r="G363" s="11" t="str">
        <f aca="false">IF(AND(F363&gt;=Нормативы!$B$3,F363&lt;=Нормативы!$C$3),"норма","превышение")</f>
        <v>норма</v>
      </c>
      <c r="H363" s="13" t="n">
        <f aca="false">Данные_ввод!G363</f>
        <v>763</v>
      </c>
      <c r="I363" s="11" t="str">
        <f aca="false">IF(H363&lt;=Нормативы!$C$4,"норма","превышение")</f>
        <v>норма</v>
      </c>
      <c r="J363" s="11" t="str">
        <f aca="false">IF(AND(E363="норма",G363="норма",I363="норма"),"Проба соответствует","Проба не соответствует")</f>
        <v>Проба соответствует</v>
      </c>
    </row>
    <row r="364" customFormat="false" ht="15" hidden="false" customHeight="false" outlineLevel="0" collapsed="false">
      <c r="A364" s="9" t="str">
        <f aca="false">Данные_ввод!A364</f>
        <v>2026-05-11</v>
      </c>
      <c r="B364" s="9" t="str">
        <f aca="false">Данные_ввод!B364</f>
        <v>S-0363</v>
      </c>
      <c r="C364" s="9" t="str">
        <f aca="false">Данные_ввод!C364</f>
        <v>Точка-3 (сброс)</v>
      </c>
      <c r="D364" s="10" t="n">
        <f aca="false">(Данные_ввод!D364-Градуировка_Fe!$B$4)/Градуировка_Fe!$B$3</f>
        <v>0.426728771049803</v>
      </c>
      <c r="E364" s="11" t="str">
        <f aca="false">IF(D364&lt;=Нормативы!$C$2,"норма","превышение")</f>
        <v>превышение</v>
      </c>
      <c r="F364" s="12" t="n">
        <f aca="false">Данные_ввод!E364</f>
        <v>6.85</v>
      </c>
      <c r="G364" s="11" t="str">
        <f aca="false">IF(AND(F364&gt;=Нормативы!$B$3,F364&lt;=Нормативы!$C$3),"норма","превышение")</f>
        <v>норма</v>
      </c>
      <c r="H364" s="13" t="n">
        <f aca="false">Данные_ввод!G364</f>
        <v>626</v>
      </c>
      <c r="I364" s="11" t="str">
        <f aca="false">IF(H364&lt;=Нормативы!$C$4,"норма","превышение")</f>
        <v>норма</v>
      </c>
      <c r="J364" s="11" t="str">
        <f aca="false">IF(AND(E364="норма",G364="норма",I364="норма"),"Проба соответствует","Проба не соответствует")</f>
        <v>Проба не соответствует</v>
      </c>
    </row>
    <row r="365" customFormat="false" ht="15" hidden="false" customHeight="false" outlineLevel="0" collapsed="false">
      <c r="A365" s="9" t="str">
        <f aca="false">Данные_ввод!A365</f>
        <v>2026-05-11</v>
      </c>
      <c r="B365" s="9" t="str">
        <f aca="false">Данные_ввод!B365</f>
        <v>S-0364</v>
      </c>
      <c r="C365" s="9" t="str">
        <f aca="false">Данные_ввод!C365</f>
        <v>Точка-3 (сброс)</v>
      </c>
      <c r="D365" s="10" t="n">
        <f aca="false">(Данные_ввод!D365-Градуировка_Fe!$B$4)/Градуировка_Fe!$B$3</f>
        <v>0.39495999044548</v>
      </c>
      <c r="E365" s="11" t="str">
        <f aca="false">IF(D365&lt;=Нормативы!$C$2,"норма","превышение")</f>
        <v>превышение</v>
      </c>
      <c r="F365" s="12" t="n">
        <f aca="false">Данные_ввод!E365</f>
        <v>7.56</v>
      </c>
      <c r="G365" s="11" t="str">
        <f aca="false">IF(AND(F365&gt;=Нормативы!$B$3,F365&lt;=Нормативы!$C$3),"норма","превышение")</f>
        <v>норма</v>
      </c>
      <c r="H365" s="13" t="n">
        <f aca="false">Данные_ввод!G365</f>
        <v>783</v>
      </c>
      <c r="I365" s="11" t="str">
        <f aca="false">IF(H365&lt;=Нормативы!$C$4,"норма","превышение")</f>
        <v>норма</v>
      </c>
      <c r="J365" s="11" t="str">
        <f aca="false">IF(AND(E365="норма",G365="норма",I365="норма"),"Проба соответствует","Проба не соответствует")</f>
        <v>Проба не соответствует</v>
      </c>
    </row>
    <row r="366" customFormat="false" ht="15" hidden="false" customHeight="false" outlineLevel="0" collapsed="false">
      <c r="A366" s="9" t="str">
        <f aca="false">Данные_ввод!A366</f>
        <v>2026-05-12</v>
      </c>
      <c r="B366" s="9" t="str">
        <f aca="false">Данные_ввод!B366</f>
        <v>S-0365</v>
      </c>
      <c r="C366" s="9" t="str">
        <f aca="false">Данные_ввод!C366</f>
        <v>Точка-3 (сброс)</v>
      </c>
      <c r="D366" s="10" t="n">
        <f aca="false">(Данные_ввод!D366-Градуировка_Fe!$B$4)/Градуировка_Fe!$B$3</f>
        <v>0.335721963453959</v>
      </c>
      <c r="E366" s="11" t="str">
        <f aca="false">IF(D366&lt;=Нормативы!$C$2,"норма","превышение")</f>
        <v>превышение</v>
      </c>
      <c r="F366" s="12" t="n">
        <f aca="false">Данные_ввод!E366</f>
        <v>7.47</v>
      </c>
      <c r="G366" s="11" t="str">
        <f aca="false">IF(AND(F366&gt;=Нормативы!$B$3,F366&lt;=Нормативы!$C$3),"норма","превышение")</f>
        <v>норма</v>
      </c>
      <c r="H366" s="13" t="n">
        <f aca="false">Данные_ввод!G366</f>
        <v>714</v>
      </c>
      <c r="I366" s="11" t="str">
        <f aca="false">IF(H366&lt;=Нормативы!$C$4,"норма","превышение")</f>
        <v>норма</v>
      </c>
      <c r="J366" s="11" t="str">
        <f aca="false">IF(AND(E366="норма",G366="норма",I366="норма"),"Проба соответствует","Проба не соответствует")</f>
        <v>Проба не соответствует</v>
      </c>
    </row>
    <row r="367" customFormat="false" ht="15" hidden="false" customHeight="false" outlineLevel="0" collapsed="false">
      <c r="A367" s="9" t="str">
        <f aca="false">Данные_ввод!A367</f>
        <v>2026-05-12</v>
      </c>
      <c r="B367" s="9" t="str">
        <f aca="false">Данные_ввод!B367</f>
        <v>S-0366</v>
      </c>
      <c r="C367" s="9" t="str">
        <f aca="false">Данные_ввод!C367</f>
        <v>Точка-2 (резервуар)</v>
      </c>
      <c r="D367" s="10" t="n">
        <f aca="false">(Данные_ввод!D367-Градуировка_Fe!$B$4)/Градуировка_Fe!$B$3</f>
        <v>0.173533978263466</v>
      </c>
      <c r="E367" s="11" t="str">
        <f aca="false">IF(D367&lt;=Нормативы!$C$2,"норма","превышение")</f>
        <v>норма</v>
      </c>
      <c r="F367" s="12" t="n">
        <f aca="false">Данные_ввод!E367</f>
        <v>6.02</v>
      </c>
      <c r="G367" s="11" t="str">
        <f aca="false">IF(AND(F367&gt;=Нормативы!$B$3,F367&lt;=Нормативы!$C$3),"норма","превышение")</f>
        <v>норма</v>
      </c>
      <c r="H367" s="13" t="n">
        <f aca="false">Данные_ввод!G367</f>
        <v>666</v>
      </c>
      <c r="I367" s="11" t="str">
        <f aca="false">IF(H367&lt;=Нормативы!$C$4,"норма","превышение")</f>
        <v>норма</v>
      </c>
      <c r="J367" s="11" t="str">
        <f aca="false">IF(AND(E367="норма",G367="норма",I367="норма"),"Проба соответствует","Проба не соответствует")</f>
        <v>Проба соответствует</v>
      </c>
    </row>
    <row r="368" customFormat="false" ht="15" hidden="false" customHeight="false" outlineLevel="0" collapsed="false">
      <c r="A368" s="9" t="str">
        <f aca="false">Данные_ввод!A368</f>
        <v>2026-05-12</v>
      </c>
      <c r="B368" s="9" t="str">
        <f aca="false">Данные_ввод!B368</f>
        <v>S-0367</v>
      </c>
      <c r="C368" s="9" t="str">
        <f aca="false">Данные_ввод!C368</f>
        <v>Точка-2 (резервуар)</v>
      </c>
      <c r="D368" s="10" t="n">
        <f aca="false">(Данные_ввод!D368-Градуировка_Fe!$B$4)/Градуировка_Fe!$B$3</f>
        <v>0.20625821091604</v>
      </c>
      <c r="E368" s="11" t="str">
        <f aca="false">IF(D368&lt;=Нормативы!$C$2,"норма","превышение")</f>
        <v>норма</v>
      </c>
      <c r="F368" s="12" t="n">
        <f aca="false">Данные_ввод!E368</f>
        <v>7.6</v>
      </c>
      <c r="G368" s="11" t="str">
        <f aca="false">IF(AND(F368&gt;=Нормативы!$B$3,F368&lt;=Нормативы!$C$3),"норма","превышение")</f>
        <v>норма</v>
      </c>
      <c r="H368" s="13" t="n">
        <f aca="false">Данные_ввод!G368</f>
        <v>621</v>
      </c>
      <c r="I368" s="11" t="str">
        <f aca="false">IF(H368&lt;=Нормативы!$C$4,"норма","превышение")</f>
        <v>норма</v>
      </c>
      <c r="J368" s="11" t="str">
        <f aca="false">IF(AND(E368="норма",G368="норма",I368="норма"),"Проба соответствует","Проба не соответствует")</f>
        <v>Проба соответствует</v>
      </c>
    </row>
    <row r="369" customFormat="false" ht="15" hidden="false" customHeight="false" outlineLevel="0" collapsed="false">
      <c r="A369" s="9" t="str">
        <f aca="false">Данные_ввод!A369</f>
        <v>2026-05-12</v>
      </c>
      <c r="B369" s="9" t="str">
        <f aca="false">Данные_ввод!B369</f>
        <v>S-0368</v>
      </c>
      <c r="C369" s="9" t="str">
        <f aca="false">Данные_ввод!C369</f>
        <v>Точка-1 (скважина)</v>
      </c>
      <c r="D369" s="10" t="n">
        <f aca="false">(Данные_ввод!D369-Градуировка_Fe!$B$4)/Градуировка_Fe!$B$3</f>
        <v>0.00191090409650066</v>
      </c>
      <c r="E369" s="11" t="str">
        <f aca="false">IF(D369&lt;=Нормативы!$C$2,"норма","превышение")</f>
        <v>норма</v>
      </c>
      <c r="F369" s="12" t="n">
        <f aca="false">Данные_ввод!E369</f>
        <v>6.05</v>
      </c>
      <c r="G369" s="11" t="str">
        <f aca="false">IF(AND(F369&gt;=Нормативы!$B$3,F369&lt;=Нормативы!$C$3),"норма","превышение")</f>
        <v>норма</v>
      </c>
      <c r="H369" s="13" t="n">
        <f aca="false">Данные_ввод!G369</f>
        <v>600</v>
      </c>
      <c r="I369" s="11" t="str">
        <f aca="false">IF(H369&lt;=Нормативы!$C$4,"норма","превышение")</f>
        <v>норма</v>
      </c>
      <c r="J369" s="11" t="str">
        <f aca="false">IF(AND(E369="норма",G369="норма",I369="норма"),"Проба соответствует","Проба не соответствует")</f>
        <v>Проба соответствует</v>
      </c>
    </row>
    <row r="370" customFormat="false" ht="15" hidden="false" customHeight="false" outlineLevel="0" collapsed="false">
      <c r="A370" s="9" t="str">
        <f aca="false">Данные_ввод!A370</f>
        <v>2026-05-13</v>
      </c>
      <c r="B370" s="9" t="str">
        <f aca="false">Данные_ввод!B370</f>
        <v>S-0369</v>
      </c>
      <c r="C370" s="9" t="str">
        <f aca="false">Данные_ввод!C370</f>
        <v>Точка-1 (скважина)</v>
      </c>
      <c r="D370" s="10" t="n">
        <f aca="false">(Данные_ввод!D370-Градуировка_Fe!$B$4)/Градуировка_Fe!$B$3</f>
        <v>0.165173772841276</v>
      </c>
      <c r="E370" s="11" t="str">
        <f aca="false">IF(D370&lt;=Нормативы!$C$2,"норма","превышение")</f>
        <v>норма</v>
      </c>
      <c r="F370" s="12" t="n">
        <f aca="false">Данные_ввод!E370</f>
        <v>7.43</v>
      </c>
      <c r="G370" s="11" t="str">
        <f aca="false">IF(AND(F370&gt;=Нормативы!$B$3,F370&lt;=Нормативы!$C$3),"норма","превышение")</f>
        <v>норма</v>
      </c>
      <c r="H370" s="13" t="n">
        <f aca="false">Данные_ввод!G370</f>
        <v>506</v>
      </c>
      <c r="I370" s="11" t="str">
        <f aca="false">IF(H370&lt;=Нормативы!$C$4,"норма","превышение")</f>
        <v>норма</v>
      </c>
      <c r="J370" s="11" t="str">
        <f aca="false">IF(AND(E370="норма",G370="норма",I370="норма"),"Проба соответствует","Проба не соответствует")</f>
        <v>Проба соответствует</v>
      </c>
    </row>
    <row r="371" customFormat="false" ht="15" hidden="false" customHeight="false" outlineLevel="0" collapsed="false">
      <c r="A371" s="9" t="str">
        <f aca="false">Данные_ввод!A371</f>
        <v>2026-05-13</v>
      </c>
      <c r="B371" s="9" t="str">
        <f aca="false">Данные_ввод!B371</f>
        <v>S-0370</v>
      </c>
      <c r="C371" s="9" t="str">
        <f aca="false">Данные_ввод!C371</f>
        <v>Точка-3 (сброс)</v>
      </c>
      <c r="D371" s="10" t="n">
        <f aca="false">(Данные_ввод!D371-Градуировка_Fe!$B$4)/Градуировка_Fe!$B$3</f>
        <v>0.283649826824316</v>
      </c>
      <c r="E371" s="11" t="str">
        <f aca="false">IF(D371&lt;=Нормативы!$C$2,"норма","превышение")</f>
        <v>норма</v>
      </c>
      <c r="F371" s="12" t="n">
        <f aca="false">Данные_ввод!E371</f>
        <v>6.3</v>
      </c>
      <c r="G371" s="11" t="str">
        <f aca="false">IF(AND(F371&gt;=Нормативы!$B$3,F371&lt;=Нормативы!$C$3),"норма","превышение")</f>
        <v>норма</v>
      </c>
      <c r="H371" s="13" t="n">
        <f aca="false">Данные_ввод!G371</f>
        <v>784</v>
      </c>
      <c r="I371" s="11" t="str">
        <f aca="false">IF(H371&lt;=Нормативы!$C$4,"норма","превышение")</f>
        <v>норма</v>
      </c>
      <c r="J371" s="11" t="str">
        <f aca="false">IF(AND(E371="норма",G371="норма",I371="норма"),"Проба соответствует","Проба не соответствует")</f>
        <v>Проба соответствует</v>
      </c>
    </row>
    <row r="372" customFormat="false" ht="15" hidden="false" customHeight="false" outlineLevel="0" collapsed="false">
      <c r="A372" s="9" t="str">
        <f aca="false">Данные_ввод!A372</f>
        <v>2026-05-13</v>
      </c>
      <c r="B372" s="9" t="str">
        <f aca="false">Данные_ввод!B372</f>
        <v>S-0371</v>
      </c>
      <c r="C372" s="9" t="str">
        <f aca="false">Данные_ввод!C372</f>
        <v>Точка-2 (резервуар)</v>
      </c>
      <c r="D372" s="10" t="n">
        <f aca="false">(Данные_ввод!D372-Градуировка_Fe!$B$4)/Градуировка_Fe!$B$3</f>
        <v>0.229308491580079</v>
      </c>
      <c r="E372" s="11" t="str">
        <f aca="false">IF(D372&lt;=Нормативы!$C$2,"норма","превышение")</f>
        <v>норма</v>
      </c>
      <c r="F372" s="12" t="n">
        <f aca="false">Данные_ввод!E372</f>
        <v>7.33</v>
      </c>
      <c r="G372" s="11" t="str">
        <f aca="false">IF(AND(F372&gt;=Нормативы!$B$3,F372&lt;=Нормативы!$C$3),"норма","превышение")</f>
        <v>норма</v>
      </c>
      <c r="H372" s="13" t="n">
        <f aca="false">Данные_ввод!G372</f>
        <v>472</v>
      </c>
      <c r="I372" s="11" t="str">
        <f aca="false">IF(H372&lt;=Нормативы!$C$4,"норма","превышение")</f>
        <v>норма</v>
      </c>
      <c r="J372" s="11" t="str">
        <f aca="false">IF(AND(E372="норма",G372="норма",I372="норма"),"Проба соответствует","Проба не соответствует")</f>
        <v>Проба соответствует</v>
      </c>
    </row>
    <row r="373" customFormat="false" ht="15" hidden="false" customHeight="false" outlineLevel="0" collapsed="false">
      <c r="A373" s="9" t="str">
        <f aca="false">Данные_ввод!A373</f>
        <v>2026-05-13</v>
      </c>
      <c r="B373" s="9" t="str">
        <f aca="false">Данные_ввод!B373</f>
        <v>S-0372</v>
      </c>
      <c r="C373" s="9" t="str">
        <f aca="false">Данные_ввод!C373</f>
        <v>Точка-2 (резервуар)</v>
      </c>
      <c r="D373" s="10" t="n">
        <f aca="false">(Данные_ввод!D373-Градуировка_Fe!$B$4)/Градуировка_Fe!$B$3</f>
        <v>0.176161471396154</v>
      </c>
      <c r="E373" s="11" t="str">
        <f aca="false">IF(D373&lt;=Нормативы!$C$2,"норма","превышение")</f>
        <v>норма</v>
      </c>
      <c r="F373" s="12" t="n">
        <f aca="false">Данные_ввод!E373</f>
        <v>8.02</v>
      </c>
      <c r="G373" s="11" t="str">
        <f aca="false">IF(AND(F373&gt;=Нормативы!$B$3,F373&lt;=Нормативы!$C$3),"норма","превышение")</f>
        <v>норма</v>
      </c>
      <c r="H373" s="13" t="n">
        <f aca="false">Данные_ввод!G373</f>
        <v>266</v>
      </c>
      <c r="I373" s="11" t="str">
        <f aca="false">IF(H373&lt;=Нормативы!$C$4,"норма","превышение")</f>
        <v>норма</v>
      </c>
      <c r="J373" s="11" t="str">
        <f aca="false">IF(AND(E373="норма",G373="норма",I373="норма"),"Проба соответствует","Проба не соответствует")</f>
        <v>Проба соответствует</v>
      </c>
    </row>
    <row r="374" customFormat="false" ht="15" hidden="false" customHeight="false" outlineLevel="0" collapsed="false">
      <c r="A374" s="9" t="str">
        <f aca="false">Данные_ввод!A374</f>
        <v>2026-05-14</v>
      </c>
      <c r="B374" s="9" t="str">
        <f aca="false">Данные_ввод!B374</f>
        <v>S-0373</v>
      </c>
      <c r="C374" s="9" t="str">
        <f aca="false">Данные_ввод!C374</f>
        <v>Точка-2 (резервуар)</v>
      </c>
      <c r="D374" s="10" t="n">
        <f aca="false">(Данные_ввод!D374-Градуировка_Fe!$B$4)/Градуировка_Fe!$B$3</f>
        <v>0.233846888809268</v>
      </c>
      <c r="E374" s="11" t="str">
        <f aca="false">IF(D374&lt;=Нормативы!$C$2,"норма","превышение")</f>
        <v>норма</v>
      </c>
      <c r="F374" s="12" t="n">
        <f aca="false">Данные_ввод!E374</f>
        <v>6.65</v>
      </c>
      <c r="G374" s="11" t="str">
        <f aca="false">IF(AND(F374&gt;=Нормативы!$B$3,F374&lt;=Нормативы!$C$3),"норма","превышение")</f>
        <v>норма</v>
      </c>
      <c r="H374" s="13" t="n">
        <f aca="false">Данные_ввод!G374</f>
        <v>778</v>
      </c>
      <c r="I374" s="11" t="str">
        <f aca="false">IF(H374&lt;=Нормативы!$C$4,"норма","превышение")</f>
        <v>норма</v>
      </c>
      <c r="J374" s="11" t="str">
        <f aca="false">IF(AND(E374="норма",G374="норма",I374="норма"),"Проба соответствует","Проба не соответствует")</f>
        <v>Проба соответствует</v>
      </c>
    </row>
    <row r="375" customFormat="false" ht="15" hidden="false" customHeight="false" outlineLevel="0" collapsed="false">
      <c r="A375" s="9" t="str">
        <f aca="false">Данные_ввод!A375</f>
        <v>2026-05-14</v>
      </c>
      <c r="B375" s="9" t="str">
        <f aca="false">Данные_ввод!B375</f>
        <v>S-0374</v>
      </c>
      <c r="C375" s="9" t="str">
        <f aca="false">Данные_ввод!C375</f>
        <v>Точка-3 (сброс)</v>
      </c>
      <c r="D375" s="10" t="n">
        <f aca="false">(Данные_ввод!D375-Градуировка_Fe!$B$4)/Градуировка_Fe!$B$3</f>
        <v>0.240415621640989</v>
      </c>
      <c r="E375" s="11" t="str">
        <f aca="false">IF(D375&lt;=Нормативы!$C$2,"норма","превышение")</f>
        <v>норма</v>
      </c>
      <c r="F375" s="12" t="n">
        <f aca="false">Данные_ввод!E375</f>
        <v>6.94</v>
      </c>
      <c r="G375" s="11" t="str">
        <f aca="false">IF(AND(F375&gt;=Нормативы!$B$3,F375&lt;=Нормативы!$C$3),"норма","превышение")</f>
        <v>норма</v>
      </c>
      <c r="H375" s="13" t="n">
        <f aca="false">Данные_ввод!G375</f>
        <v>659</v>
      </c>
      <c r="I375" s="11" t="str">
        <f aca="false">IF(H375&lt;=Нормативы!$C$4,"норма","превышение")</f>
        <v>норма</v>
      </c>
      <c r="J375" s="11" t="str">
        <f aca="false">IF(AND(E375="норма",G375="норма",I375="норма"),"Проба соответствует","Проба не соответствует")</f>
        <v>Проба соответствует</v>
      </c>
    </row>
    <row r="376" customFormat="false" ht="15" hidden="false" customHeight="false" outlineLevel="0" collapsed="false">
      <c r="A376" s="9" t="str">
        <f aca="false">Данные_ввод!A376</f>
        <v>2026-05-14</v>
      </c>
      <c r="B376" s="9" t="str">
        <f aca="false">Данные_ввод!B376</f>
        <v>S-0375</v>
      </c>
      <c r="C376" s="9" t="str">
        <f aca="false">Данные_ввод!C376</f>
        <v>Точка-2 (резервуар)</v>
      </c>
      <c r="D376" s="10" t="n">
        <f aca="false">(Данные_ввод!D376-Градуировка_Fe!$B$4)/Градуировка_Fe!$B$3</f>
        <v>0.197300847963693</v>
      </c>
      <c r="E376" s="11" t="str">
        <f aca="false">IF(D376&lt;=Нормативы!$C$2,"норма","превышение")</f>
        <v>норма</v>
      </c>
      <c r="F376" s="12" t="n">
        <f aca="false">Данные_ввод!E376</f>
        <v>7.73</v>
      </c>
      <c r="G376" s="11" t="str">
        <f aca="false">IF(AND(F376&gt;=Нормативы!$B$3,F376&lt;=Нормативы!$C$3),"норма","превышение")</f>
        <v>норма</v>
      </c>
      <c r="H376" s="13" t="n">
        <f aca="false">Данные_ввод!G376</f>
        <v>829</v>
      </c>
      <c r="I376" s="11" t="str">
        <f aca="false">IF(H376&lt;=Нормативы!$C$4,"норма","превышение")</f>
        <v>норма</v>
      </c>
      <c r="J376" s="11" t="str">
        <f aca="false">IF(AND(E376="норма",G376="норма",I376="норма"),"Проба соответствует","Проба не соответствует")</f>
        <v>Проба соответствует</v>
      </c>
    </row>
    <row r="377" customFormat="false" ht="15" hidden="false" customHeight="false" outlineLevel="0" collapsed="false">
      <c r="A377" s="9" t="str">
        <f aca="false">Данные_ввод!A377</f>
        <v>2026-05-14</v>
      </c>
      <c r="B377" s="9" t="str">
        <f aca="false">Данные_ввод!B377</f>
        <v>S-0376</v>
      </c>
      <c r="C377" s="9" t="str">
        <f aca="false">Данные_ввод!C377</f>
        <v>Точка-2 (резервуар)</v>
      </c>
      <c r="D377" s="10" t="n">
        <f aca="false">(Данные_ввод!D377-Градуировка_Fe!$B$4)/Градуировка_Fe!$B$3</f>
        <v>0.121342410127792</v>
      </c>
      <c r="E377" s="11" t="str">
        <f aca="false">IF(D377&lt;=Нормативы!$C$2,"норма","превышение")</f>
        <v>норма</v>
      </c>
      <c r="F377" s="12" t="n">
        <f aca="false">Данные_ввод!E377</f>
        <v>6.09</v>
      </c>
      <c r="G377" s="11" t="str">
        <f aca="false">IF(AND(F377&gt;=Нормативы!$B$3,F377&lt;=Нормативы!$C$3),"норма","превышение")</f>
        <v>норма</v>
      </c>
      <c r="H377" s="13" t="n">
        <f aca="false">Данные_ввод!G377</f>
        <v>739</v>
      </c>
      <c r="I377" s="11" t="str">
        <f aca="false">IF(H377&lt;=Нормативы!$C$4,"норма","превышение")</f>
        <v>норма</v>
      </c>
      <c r="J377" s="11" t="str">
        <f aca="false">IF(AND(E377="норма",G377="норма",I377="норма"),"Проба соответствует","Проба не соответствует")</f>
        <v>Проба соответствует</v>
      </c>
    </row>
  </sheetData>
  <conditionalFormatting sqref="E2:E377">
    <cfRule type="cellIs" priority="2" operator="equal" aboveAverage="0" equalAverage="0" bottom="0" percent="0" rank="0" text="" dxfId="0">
      <formula>"норма"</formula>
    </cfRule>
    <cfRule type="cellIs" priority="3" operator="equal" aboveAverage="0" equalAverage="0" bottom="0" percent="0" rank="0" text="" dxfId="1">
      <formula>"превышение"</formula>
    </cfRule>
  </conditionalFormatting>
  <conditionalFormatting sqref="G2:G377">
    <cfRule type="cellIs" priority="4" operator="equal" aboveAverage="0" equalAverage="0" bottom="0" percent="0" rank="0" text="" dxfId="0">
      <formula>"норма"</formula>
    </cfRule>
    <cfRule type="cellIs" priority="5" operator="equal" aboveAverage="0" equalAverage="0" bottom="0" percent="0" rank="0" text="" dxfId="1">
      <formula>"превышение"</formula>
    </cfRule>
  </conditionalFormatting>
  <conditionalFormatting sqref="I2:I377">
    <cfRule type="cellIs" priority="6" operator="equal" aboveAverage="0" equalAverage="0" bottom="0" percent="0" rank="0" text="" dxfId="0">
      <formula>"норма"</formula>
    </cfRule>
    <cfRule type="cellIs" priority="7" operator="equal" aboveAverage="0" equalAverage="0" bottom="0" percent="0" rank="0" text="" dxfId="1">
      <formula>"превышение"</formula>
    </cfRule>
  </conditionalFormatting>
  <conditionalFormatting sqref="J2:J377">
    <cfRule type="cellIs" priority="8" operator="equal" aboveAverage="0" equalAverage="0" bottom="0" percent="0" rank="0" text="" dxfId="0">
      <formula>"норма"</formula>
    </cfRule>
    <cfRule type="cellIs" priority="9" operator="equal" aboveAverage="0" equalAverage="0" bottom="0" percent="0" rank="0" text="" dxfId="1">
      <formula>"превышение"</formula>
    </cfRule>
    <cfRule type="cellIs" priority="10" operator="equal" aboveAverage="0" equalAverage="0" bottom="0" percent="0" rank="0" text="" dxfId="0">
      <formula>"Проба соответствует"</formula>
    </cfRule>
    <cfRule type="cellIs" priority="11" operator="equal" aboveAverage="0" equalAverage="0" bottom="0" percent="0" rank="0" text="" dxfId="1">
      <formula>"Проба не соответствует"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6" min="4" style="0" width="14"/>
  </cols>
  <sheetData>
    <row r="1" customFormat="false" ht="16.15" hidden="false" customHeight="false" outlineLevel="0" collapsed="false">
      <c r="A1" s="4" t="s">
        <v>504</v>
      </c>
      <c r="B1" s="4"/>
      <c r="C1" s="4"/>
      <c r="D1" s="4"/>
      <c r="E1" s="4"/>
      <c r="F1" s="4"/>
    </row>
    <row r="3" customFormat="false" ht="26.85" hidden="false" customHeight="false" outlineLevel="0" collapsed="false">
      <c r="A3" s="1" t="s">
        <v>505</v>
      </c>
      <c r="B3" s="1" t="s">
        <v>506</v>
      </c>
      <c r="C3" s="1" t="s">
        <v>507</v>
      </c>
      <c r="D3" s="1" t="s">
        <v>508</v>
      </c>
      <c r="E3" s="1" t="s">
        <v>509</v>
      </c>
      <c r="F3" s="1" t="s">
        <v>510</v>
      </c>
    </row>
    <row r="4" customFormat="false" ht="15" hidden="false" customHeight="false" outlineLevel="0" collapsed="false">
      <c r="A4" s="13" t="s">
        <v>511</v>
      </c>
      <c r="B4" s="13" t="n">
        <f aca="false">COUNTIF(Результаты!$A$2:$A$377,"2026-01*")</f>
        <v>80</v>
      </c>
      <c r="C4" s="14" t="n">
        <f aca="false">IFERROR(ROUND(COUNTIFS(Результаты!$A$2:$A$377,"2026-01*",Результаты!$J$2:$J$377,"Проба соответствует")/B4*100,1),0)</f>
        <v>87.5</v>
      </c>
      <c r="D4" s="13" t="n">
        <f aca="false">COUNTIFS(Результаты!$A$2:$A$377,"2026-01*",Результаты!$E$2:$E$377,"превышение")</f>
        <v>7</v>
      </c>
      <c r="E4" s="13" t="n">
        <f aca="false">COUNTIFS(Результаты!$A$2:$A$377,"2026-01*",Результаты!$G$2:$G$377,"превышение")</f>
        <v>3</v>
      </c>
      <c r="F4" s="13" t="n">
        <f aca="false">COUNTIFS(Результаты!$A$2:$A$377,"2026-01*",Результаты!$I$2:$I$377,"превышение")</f>
        <v>0</v>
      </c>
    </row>
    <row r="5" customFormat="false" ht="15" hidden="false" customHeight="false" outlineLevel="0" collapsed="false">
      <c r="A5" s="13" t="s">
        <v>512</v>
      </c>
      <c r="B5" s="13" t="n">
        <f aca="false">COUNTIF(Результаты!$A$2:$A$377,"2026-02*")</f>
        <v>80</v>
      </c>
      <c r="C5" s="14" t="n">
        <f aca="false">IFERROR(ROUND(COUNTIFS(Результаты!$A$2:$A$377,"2026-02*",Результаты!$J$2:$J$377,"Проба соответствует")/B5*100,1),0)</f>
        <v>83.8</v>
      </c>
      <c r="D5" s="13" t="n">
        <f aca="false">COUNTIFS(Результаты!$A$2:$A$377,"2026-02*",Результаты!$E$2:$E$377,"превышение")</f>
        <v>11</v>
      </c>
      <c r="E5" s="13" t="n">
        <f aca="false">COUNTIFS(Результаты!$A$2:$A$377,"2026-02*",Результаты!$G$2:$G$377,"превышение")</f>
        <v>2</v>
      </c>
      <c r="F5" s="13" t="n">
        <f aca="false">COUNTIFS(Результаты!$A$2:$A$377,"2026-02*",Результаты!$I$2:$I$377,"превышение")</f>
        <v>0</v>
      </c>
    </row>
    <row r="6" customFormat="false" ht="15" hidden="false" customHeight="false" outlineLevel="0" collapsed="false">
      <c r="A6" s="13" t="s">
        <v>513</v>
      </c>
      <c r="B6" s="13" t="n">
        <f aca="false">COUNTIF(Результаты!$A$2:$A$377,"2026-03*")</f>
        <v>88</v>
      </c>
      <c r="C6" s="14" t="n">
        <f aca="false">IFERROR(ROUND(COUNTIFS(Результаты!$A$2:$A$377,"2026-03*",Результаты!$J$2:$J$377,"Проба соответствует")/B6*100,1),0)</f>
        <v>84.1</v>
      </c>
      <c r="D6" s="13" t="n">
        <f aca="false">COUNTIFS(Результаты!$A$2:$A$377,"2026-03*",Результаты!$E$2:$E$377,"превышение")</f>
        <v>12</v>
      </c>
      <c r="E6" s="13" t="n">
        <f aca="false">COUNTIFS(Результаты!$A$2:$A$377,"2026-03*",Результаты!$G$2:$G$377,"превышение")</f>
        <v>2</v>
      </c>
      <c r="F6" s="13" t="n">
        <f aca="false">COUNTIFS(Результаты!$A$2:$A$377,"2026-03*",Результаты!$I$2:$I$377,"превышение")</f>
        <v>1</v>
      </c>
    </row>
    <row r="7" customFormat="false" ht="15" hidden="false" customHeight="false" outlineLevel="0" collapsed="false">
      <c r="A7" s="13" t="s">
        <v>514</v>
      </c>
      <c r="B7" s="13" t="n">
        <f aca="false">COUNTIF(Результаты!$A$2:$A$377,"2026-04*")</f>
        <v>88</v>
      </c>
      <c r="C7" s="14" t="n">
        <f aca="false">IFERROR(ROUND(COUNTIFS(Результаты!$A$2:$A$377,"2026-04*",Результаты!$J$2:$J$377,"Проба соответствует")/B7*100,1),0)</f>
        <v>85.2</v>
      </c>
      <c r="D7" s="13" t="n">
        <f aca="false">COUNTIFS(Результаты!$A$2:$A$377,"2026-04*",Результаты!$E$2:$E$377,"превышение")</f>
        <v>10</v>
      </c>
      <c r="E7" s="13" t="n">
        <f aca="false">COUNTIFS(Результаты!$A$2:$A$377,"2026-04*",Результаты!$G$2:$G$377,"превышение")</f>
        <v>1</v>
      </c>
      <c r="F7" s="13" t="n">
        <f aca="false">COUNTIFS(Результаты!$A$2:$A$377,"2026-04*",Результаты!$I$2:$I$377,"превышение")</f>
        <v>2</v>
      </c>
    </row>
    <row r="8" customFormat="false" ht="15" hidden="false" customHeight="false" outlineLevel="0" collapsed="false">
      <c r="A8" s="13" t="s">
        <v>515</v>
      </c>
      <c r="B8" s="13" t="n">
        <f aca="false">COUNTIF(Результаты!$A$2:$A$377,"2026-05*")</f>
        <v>40</v>
      </c>
      <c r="C8" s="14" t="n">
        <f aca="false">IFERROR(ROUND(COUNTIFS(Результаты!$A$2:$A$377,"2026-05*",Результаты!$J$2:$J$377,"Проба соответствует")/B8*100,1),0)</f>
        <v>85</v>
      </c>
      <c r="D8" s="13" t="n">
        <f aca="false">COUNTIFS(Результаты!$A$2:$A$377,"2026-05*",Результаты!$E$2:$E$377,"превышение")</f>
        <v>6</v>
      </c>
      <c r="E8" s="13" t="n">
        <f aca="false">COUNTIFS(Результаты!$A$2:$A$377,"2026-05*",Результаты!$G$2:$G$377,"превышение")</f>
        <v>0</v>
      </c>
      <c r="F8" s="13" t="n">
        <f aca="false">COUNTIFS(Результаты!$A$2:$A$377,"2026-05*",Результаты!$I$2:$I$377,"превышение")</f>
        <v>0</v>
      </c>
    </row>
    <row r="10" customFormat="false" ht="15" hidden="false" customHeight="true" outlineLevel="0" collapsed="false">
      <c r="A10" s="7" t="s">
        <v>516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</row>
  </sheetData>
  <mergeCells count="2">
    <mergeCell ref="A1:F1"/>
    <mergeCell ref="A10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2026-07-26T21:58:54Z</dcterms:created>
  <dc:creator>openpyxl</dc:creator>
  <dc:description/>
  <dc:language>en-US</dc:language>
  <cp:lastModifiedBy/>
  <dcterms:modified xsi:type="dcterms:W3CDTF">2026-07-26T21:58:56Z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